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drawings/drawing2.xml" ContentType="application/vnd.openxmlformats-officedocument.drawing+xml"/>
  <Override PartName="/xl/comments1.xml" ContentType="application/vnd.openxmlformats-officedocument.spreadsheetml.comments+xml"/>
  <Override PartName="/xl/charts/chart5.xml" ContentType="application/vnd.openxmlformats-officedocument.drawingml.chart+xml"/>
  <Override PartName="/xl/drawings/drawing3.xml" ContentType="application/vnd.openxmlformats-officedocument.drawingml.chartshapes+xml"/>
  <Override PartName="/xl/comments2.xml" ContentType="application/vnd.openxmlformats-officedocument.spreadsheetml.comments+xml"/>
  <Override PartName="/xl/drawings/drawing4.xml" ContentType="application/vnd.openxmlformats-officedocument.drawing+xml"/>
  <Override PartName="/xl/charts/chart6.xml" ContentType="application/vnd.openxmlformats-officedocument.drawingml.chart+xml"/>
  <Override PartName="/xl/drawings/drawing5.xml" ContentType="application/vnd.openxmlformats-officedocument.drawingml.chartshape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827"/>
  <workbookPr filterPrivacy="1" autoCompressPictures="0" defaultThemeVersion="124226"/>
  <xr:revisionPtr revIDLastSave="0" documentId="8_{3D3E7950-39E5-45EF-A280-2948D7BB0C00}" xr6:coauthVersionLast="47" xr6:coauthVersionMax="47" xr10:uidLastSave="{00000000-0000-0000-0000-000000000000}"/>
  <bookViews>
    <workbookView xWindow="-110" yWindow="-110" windowWidth="19420" windowHeight="10300" activeTab="1" xr2:uid="{00000000-000D-0000-FFFF-FFFF00000000}"/>
  </bookViews>
  <sheets>
    <sheet name="Summary" sheetId="5" r:id="rId1"/>
    <sheet name="RAI" sheetId="8" r:id="rId2"/>
    <sheet name="Ambiguity Defects" sheetId="1" r:id="rId3"/>
    <sheet name="Guidelines" sheetId="4" r:id="rId4"/>
    <sheet name="Revision History" sheetId="9" r:id="rId5"/>
    <sheet name="Gauge_Prasad" sheetId="10" state="hidden" r:id="rId6"/>
  </sheets>
  <externalReferences>
    <externalReference r:id="rId7"/>
    <externalReference r:id="rId8"/>
    <externalReference r:id="rId9"/>
    <externalReference r:id="rId10"/>
  </externalReferences>
  <definedNames>
    <definedName name="__xlnm._FilterDatabase">#REF!</definedName>
    <definedName name="__xlnm._FilterDatabase_1">#REF!</definedName>
    <definedName name="__xlnm._FilterDatabase_10">#REF!</definedName>
    <definedName name="__xlnm._FilterDatabase_11">#REF!</definedName>
    <definedName name="__xlnm._FilterDatabase_12">#REF!</definedName>
    <definedName name="__xlnm._FilterDatabase_13">#REF!</definedName>
    <definedName name="__xlnm._FilterDatabase_14">[1]SheetName!#REF!</definedName>
    <definedName name="__xlnm._FilterDatabase_2">#REF!</definedName>
    <definedName name="__xlnm._FilterDatabase_3">#REF!</definedName>
    <definedName name="__xlnm._FilterDatabase_4">#REF!</definedName>
    <definedName name="__xlnm._FilterDatabase_5">#REF!</definedName>
    <definedName name="__xlnm._FilterDatabase_6">#REF!</definedName>
    <definedName name="__xlnm._FilterDatabase_7">#REF!</definedName>
    <definedName name="__xlnm._FilterDatabase_8">#REF!</definedName>
    <definedName name="__xlnm._FilterDatabase_9">#REF!</definedName>
    <definedName name="_xlnm._FilterDatabase" localSheetId="2" hidden="1">'Ambiguity Defects'!$A$2:$CX$39</definedName>
    <definedName name="_SS1">#N/A</definedName>
    <definedName name="_SS1_1">#N/A</definedName>
    <definedName name="_SS1_10">#N/A</definedName>
    <definedName name="_SS1_11">#N/A</definedName>
    <definedName name="_SS1_12">#N/A</definedName>
    <definedName name="_SS1_13">#N/A</definedName>
    <definedName name="_SS1_14">#N/A</definedName>
    <definedName name="_SS1_2">#N/A</definedName>
    <definedName name="_SS1_3">#N/A</definedName>
    <definedName name="_SS1_4">#N/A</definedName>
    <definedName name="_SS1_5">#N/A</definedName>
    <definedName name="_SS1_6">#N/A</definedName>
    <definedName name="_SS1_7">#N/A</definedName>
    <definedName name="_SS1_8">#N/A</definedName>
    <definedName name="_SS1_9">#N/A</definedName>
    <definedName name="abc">#N/A</definedName>
    <definedName name="Area3A">#N/A</definedName>
    <definedName name="Area3A_1">#N/A</definedName>
    <definedName name="Area3A_10">#N/A</definedName>
    <definedName name="Area3A_11">#N/A</definedName>
    <definedName name="Area3A_12">#N/A</definedName>
    <definedName name="Area3A_13">#N/A</definedName>
    <definedName name="Area3A_14">#N/A</definedName>
    <definedName name="Area3A_2">#N/A</definedName>
    <definedName name="Area3A_3">#N/A</definedName>
    <definedName name="Area3A_4">#N/A</definedName>
    <definedName name="Area3A_5">#N/A</definedName>
    <definedName name="Area3A_6">#N/A</definedName>
    <definedName name="Area3A_7">#N/A</definedName>
    <definedName name="Area3A_8">#N/A</definedName>
    <definedName name="Area3A_9">#N/A</definedName>
    <definedName name="Area3P">#N/A</definedName>
    <definedName name="Area3P_1">#N/A</definedName>
    <definedName name="Area3P_10">#N/A</definedName>
    <definedName name="Area3P_11">#N/A</definedName>
    <definedName name="Area3P_12">#N/A</definedName>
    <definedName name="Area3P_13">#N/A</definedName>
    <definedName name="Area3P_14">#N/A</definedName>
    <definedName name="Area3P_2">#N/A</definedName>
    <definedName name="Area3P_3">#N/A</definedName>
    <definedName name="Area3P_4">#N/A</definedName>
    <definedName name="Area3P_5">#N/A</definedName>
    <definedName name="Area3P_6">#N/A</definedName>
    <definedName name="Area3P_7">#N/A</definedName>
    <definedName name="Area3P_8">#N/A</definedName>
    <definedName name="Area3P_9">#N/A</definedName>
    <definedName name="Area3S">#N/A</definedName>
    <definedName name="Area3S_1">#N/A</definedName>
    <definedName name="Area3S_10">#N/A</definedName>
    <definedName name="Area3S_11">#N/A</definedName>
    <definedName name="Area3S_12">#N/A</definedName>
    <definedName name="Area3S_13">#N/A</definedName>
    <definedName name="Area3S_14">#N/A</definedName>
    <definedName name="Area3S_2">#N/A</definedName>
    <definedName name="Area3S_3">#N/A</definedName>
    <definedName name="Area3S_4">#N/A</definedName>
    <definedName name="Area3S_5">#N/A</definedName>
    <definedName name="Area3S_6">#N/A</definedName>
    <definedName name="Area3S_7">#N/A</definedName>
    <definedName name="Area3S_8">#N/A</definedName>
    <definedName name="Area3S_9">#N/A</definedName>
    <definedName name="AreaAM">#N/A</definedName>
    <definedName name="AreaAM_1">#N/A</definedName>
    <definedName name="AreaAM_10">#N/A</definedName>
    <definedName name="AreaAM_11">#N/A</definedName>
    <definedName name="AreaAM_12">#N/A</definedName>
    <definedName name="AreaAM_13">#N/A</definedName>
    <definedName name="AreaAM_14">#N/A</definedName>
    <definedName name="AreaAM_2">#N/A</definedName>
    <definedName name="AreaAM_3">#N/A</definedName>
    <definedName name="AreaAM_4">#N/A</definedName>
    <definedName name="AreaAM_5">#N/A</definedName>
    <definedName name="AreaAM_6">#N/A</definedName>
    <definedName name="AreaAM_7">#N/A</definedName>
    <definedName name="AreaAM_8">#N/A</definedName>
    <definedName name="AreaAM_9">#N/A</definedName>
    <definedName name="AreaAR">#N/A</definedName>
    <definedName name="AreaAR_1">#N/A</definedName>
    <definedName name="AreaAR_10">#N/A</definedName>
    <definedName name="AreaAR_11">#N/A</definedName>
    <definedName name="AreaAR_12">#N/A</definedName>
    <definedName name="AreaAR_13">#N/A</definedName>
    <definedName name="AreaAR_14">#N/A</definedName>
    <definedName name="AreaAR_2">#N/A</definedName>
    <definedName name="AreaAR_3">#N/A</definedName>
    <definedName name="AreaAR_4">#N/A</definedName>
    <definedName name="AreaAR_5">#N/A</definedName>
    <definedName name="AreaAR_6">#N/A</definedName>
    <definedName name="AreaAR_7">#N/A</definedName>
    <definedName name="AreaAR_8">#N/A</definedName>
    <definedName name="AreaAR_9">#N/A</definedName>
    <definedName name="AreaCH">#N/A</definedName>
    <definedName name="AreaCH_1">#N/A</definedName>
    <definedName name="AreaCH_10">#N/A</definedName>
    <definedName name="AreaCH_11">#N/A</definedName>
    <definedName name="AreaCH_12">#N/A</definedName>
    <definedName name="AreaCH_13">#N/A</definedName>
    <definedName name="AreaCH_14">#N/A</definedName>
    <definedName name="AreaCH_2">#N/A</definedName>
    <definedName name="AreaCH_3">#N/A</definedName>
    <definedName name="AreaCH_4">#N/A</definedName>
    <definedName name="AreaCH_5">#N/A</definedName>
    <definedName name="AreaCH_6">#N/A</definedName>
    <definedName name="AreaCH_7">#N/A</definedName>
    <definedName name="AreaCH_8">#N/A</definedName>
    <definedName name="AreaCH_9">#N/A</definedName>
    <definedName name="AreaCI">#N/A</definedName>
    <definedName name="AreaCI_1">#N/A</definedName>
    <definedName name="AreaCI_10">#N/A</definedName>
    <definedName name="AreaCI_11">#N/A</definedName>
    <definedName name="AreaCI_12">#N/A</definedName>
    <definedName name="AreaCI_13">#N/A</definedName>
    <definedName name="AreaCI_14">#N/A</definedName>
    <definedName name="AreaCI_2">#N/A</definedName>
    <definedName name="AreaCI_3">#N/A</definedName>
    <definedName name="AreaCI_4">#N/A</definedName>
    <definedName name="AreaCI_5">#N/A</definedName>
    <definedName name="AreaCI_6">#N/A</definedName>
    <definedName name="AreaCI_7">#N/A</definedName>
    <definedName name="AreaCI_8">#N/A</definedName>
    <definedName name="AreaCI_9">#N/A</definedName>
    <definedName name="AreaCP">#N/A</definedName>
    <definedName name="AreaCP_1">#N/A</definedName>
    <definedName name="AreaCP_10">#N/A</definedName>
    <definedName name="AreaCP_11">#N/A</definedName>
    <definedName name="AreaCP_12">#N/A</definedName>
    <definedName name="AreaCP_13">#N/A</definedName>
    <definedName name="AreaCP_14">#N/A</definedName>
    <definedName name="AreaCP_2">#N/A</definedName>
    <definedName name="AreaCP_3">#N/A</definedName>
    <definedName name="AreaCP_4">#N/A</definedName>
    <definedName name="AreaCP_5">#N/A</definedName>
    <definedName name="AreaCP_6">#N/A</definedName>
    <definedName name="AreaCP_7">#N/A</definedName>
    <definedName name="AreaCP_8">#N/A</definedName>
    <definedName name="AreaCP_9">#N/A</definedName>
    <definedName name="AreaCT">#N/A</definedName>
    <definedName name="AreaCT_1">#N/A</definedName>
    <definedName name="AreaCT_10">#N/A</definedName>
    <definedName name="AreaCT_11">#N/A</definedName>
    <definedName name="AreaCT_12">#N/A</definedName>
    <definedName name="AreaCT_13">#N/A</definedName>
    <definedName name="AreaCT_14">#N/A</definedName>
    <definedName name="AreaCT_2">#N/A</definedName>
    <definedName name="AreaCT_3">#N/A</definedName>
    <definedName name="AreaCT_4">#N/A</definedName>
    <definedName name="AreaCT_5">#N/A</definedName>
    <definedName name="AreaCT_6">#N/A</definedName>
    <definedName name="AreaCT_7">#N/A</definedName>
    <definedName name="AreaCT_8">#N/A</definedName>
    <definedName name="AreaCT_9">#N/A</definedName>
    <definedName name="AreaDR">#N/A</definedName>
    <definedName name="AreaDR_1">#N/A</definedName>
    <definedName name="AreaDR_10">#N/A</definedName>
    <definedName name="AreaDR_11">#N/A</definedName>
    <definedName name="AreaDR_12">#N/A</definedName>
    <definedName name="AreaDR_13">#N/A</definedName>
    <definedName name="AreaDR_14">#N/A</definedName>
    <definedName name="AreaDR_2">#N/A</definedName>
    <definedName name="AreaDR_3">#N/A</definedName>
    <definedName name="AreaDR_4">#N/A</definedName>
    <definedName name="AreaDR_5">#N/A</definedName>
    <definedName name="AreaDR_6">#N/A</definedName>
    <definedName name="AreaDR_7">#N/A</definedName>
    <definedName name="AreaDR_8">#N/A</definedName>
    <definedName name="AreaDR_9">#N/A</definedName>
    <definedName name="AreaDT">#N/A</definedName>
    <definedName name="AreaDT_1">#N/A</definedName>
    <definedName name="AreaDT_10">#N/A</definedName>
    <definedName name="AreaDT_11">#N/A</definedName>
    <definedName name="AreaDT_12">#N/A</definedName>
    <definedName name="AreaDT_13">#N/A</definedName>
    <definedName name="AreaDT_14">#N/A</definedName>
    <definedName name="AreaDT_2">#N/A</definedName>
    <definedName name="AreaDT_3">#N/A</definedName>
    <definedName name="AreaDT_4">#N/A</definedName>
    <definedName name="AreaDT_5">#N/A</definedName>
    <definedName name="AreaDT_6">#N/A</definedName>
    <definedName name="AreaDT_7">#N/A</definedName>
    <definedName name="AreaDT_8">#N/A</definedName>
    <definedName name="AreaDT_9">#N/A</definedName>
    <definedName name="AreaEO">#N/A</definedName>
    <definedName name="AreaEO_1">#N/A</definedName>
    <definedName name="AreaEO_10">#N/A</definedName>
    <definedName name="AreaEO_11">#N/A</definedName>
    <definedName name="AreaEO_12">#N/A</definedName>
    <definedName name="AreaEO_13">#N/A</definedName>
    <definedName name="AreaEO_14">#N/A</definedName>
    <definedName name="AreaEO_2">#N/A</definedName>
    <definedName name="AreaEO_3">#N/A</definedName>
    <definedName name="AreaEO_4">#N/A</definedName>
    <definedName name="AreaEO_5">#N/A</definedName>
    <definedName name="AreaEO_6">#N/A</definedName>
    <definedName name="AreaEO_7">#N/A</definedName>
    <definedName name="AreaEO_8">#N/A</definedName>
    <definedName name="AreaEO_9">#N/A</definedName>
    <definedName name="AreaER">#N/A</definedName>
    <definedName name="AreaER_1">#N/A</definedName>
    <definedName name="AreaER_10">#N/A</definedName>
    <definedName name="AreaER_11">#N/A</definedName>
    <definedName name="AreaER_12">#N/A</definedName>
    <definedName name="AreaER_13">#N/A</definedName>
    <definedName name="AreaER_14">#N/A</definedName>
    <definedName name="AreaER_2">#N/A</definedName>
    <definedName name="AreaER_3">#N/A</definedName>
    <definedName name="AreaER_4">#N/A</definedName>
    <definedName name="AreaER_5">#N/A</definedName>
    <definedName name="AreaER_6">#N/A</definedName>
    <definedName name="AreaER_7">#N/A</definedName>
    <definedName name="AreaER_8">#N/A</definedName>
    <definedName name="AreaER_9">#N/A</definedName>
    <definedName name="AreaEU">#N/A</definedName>
    <definedName name="AreaEU_1">#N/A</definedName>
    <definedName name="AreaEU_10">#N/A</definedName>
    <definedName name="AreaEU_11">#N/A</definedName>
    <definedName name="AreaEU_12">#N/A</definedName>
    <definedName name="AreaEU_13">#N/A</definedName>
    <definedName name="AreaEU_14">#N/A</definedName>
    <definedName name="AreaEU_2">#N/A</definedName>
    <definedName name="AreaEU_3">#N/A</definedName>
    <definedName name="AreaEU_4">#N/A</definedName>
    <definedName name="AreaEU_5">#N/A</definedName>
    <definedName name="AreaEU_6">#N/A</definedName>
    <definedName name="AreaEU_7">#N/A</definedName>
    <definedName name="AreaEU_8">#N/A</definedName>
    <definedName name="AreaEU_9">#N/A</definedName>
    <definedName name="AreaFC">#N/A</definedName>
    <definedName name="AreaFC_1">#N/A</definedName>
    <definedName name="AreaFC_10">#N/A</definedName>
    <definedName name="AreaFC_11">#N/A</definedName>
    <definedName name="AreaFC_12">#N/A</definedName>
    <definedName name="AreaFC_13">#N/A</definedName>
    <definedName name="AreaFC_14">#N/A</definedName>
    <definedName name="AreaFC_2">#N/A</definedName>
    <definedName name="AreaFC_3">#N/A</definedName>
    <definedName name="AreaFC_4">#N/A</definedName>
    <definedName name="AreaFC_5">#N/A</definedName>
    <definedName name="AreaFC_6">#N/A</definedName>
    <definedName name="AreaFC_7">#N/A</definedName>
    <definedName name="AreaFC_8">#N/A</definedName>
    <definedName name="AreaFC_9">#N/A</definedName>
    <definedName name="AreaID">#N/A</definedName>
    <definedName name="AreaID_1">#N/A</definedName>
    <definedName name="AreaID_10">#N/A</definedName>
    <definedName name="AreaID_11">#N/A</definedName>
    <definedName name="AreaID_12">#N/A</definedName>
    <definedName name="AreaID_13">#N/A</definedName>
    <definedName name="AreaID_14">#N/A</definedName>
    <definedName name="AreaID_2">#N/A</definedName>
    <definedName name="AreaID_3">#N/A</definedName>
    <definedName name="AreaID_4">#N/A</definedName>
    <definedName name="AreaID_5">#N/A</definedName>
    <definedName name="AreaID_6">#N/A</definedName>
    <definedName name="AreaID_7">#N/A</definedName>
    <definedName name="AreaID_8">#N/A</definedName>
    <definedName name="AreaID_9">#N/A</definedName>
    <definedName name="AreaMD">#N/A</definedName>
    <definedName name="AreaMD_1">#N/A</definedName>
    <definedName name="AreaMD_10">#N/A</definedName>
    <definedName name="AreaMD_11">#N/A</definedName>
    <definedName name="AreaMD_12">#N/A</definedName>
    <definedName name="AreaMD_13">#N/A</definedName>
    <definedName name="AreaMD_14">#N/A</definedName>
    <definedName name="AreaMD_2">#N/A</definedName>
    <definedName name="AreaMD_3">#N/A</definedName>
    <definedName name="AreaMD_4">#N/A</definedName>
    <definedName name="AreaMD_5">#N/A</definedName>
    <definedName name="AreaMD_6">#N/A</definedName>
    <definedName name="AreaMD_7">#N/A</definedName>
    <definedName name="AreaMD_8">#N/A</definedName>
    <definedName name="AreaMD_9">#N/A</definedName>
    <definedName name="AreaRP">#N/A</definedName>
    <definedName name="AreaRP_1">#N/A</definedName>
    <definedName name="AreaRP_10">#N/A</definedName>
    <definedName name="AreaRP_11">#N/A</definedName>
    <definedName name="AreaRP_12">#N/A</definedName>
    <definedName name="AreaRP_13">#N/A</definedName>
    <definedName name="AreaRP_14">#N/A</definedName>
    <definedName name="AreaRP_2">#N/A</definedName>
    <definedName name="AreaRP_3">#N/A</definedName>
    <definedName name="AreaRP_4">#N/A</definedName>
    <definedName name="AreaRP_5">#N/A</definedName>
    <definedName name="AreaRP_6">#N/A</definedName>
    <definedName name="AreaRP_7">#N/A</definedName>
    <definedName name="AreaRP_8">#N/A</definedName>
    <definedName name="AreaRP_9">#N/A</definedName>
    <definedName name="AreaSD">#N/A</definedName>
    <definedName name="AreaSD_1">#N/A</definedName>
    <definedName name="AreaSD_10">#N/A</definedName>
    <definedName name="AreaSD_11">#N/A</definedName>
    <definedName name="AreaSD_12">#N/A</definedName>
    <definedName name="AreaSD_13">#N/A</definedName>
    <definedName name="AreaSD_14">#N/A</definedName>
    <definedName name="AreaSD_2">#N/A</definedName>
    <definedName name="AreaSD_3">#N/A</definedName>
    <definedName name="AreaSD_4">#N/A</definedName>
    <definedName name="AreaSD_5">#N/A</definedName>
    <definedName name="AreaSD_6">#N/A</definedName>
    <definedName name="AreaSD_7">#N/A</definedName>
    <definedName name="AreaSD_8">#N/A</definedName>
    <definedName name="AreaSD_9">#N/A</definedName>
    <definedName name="AreaSI">#N/A</definedName>
    <definedName name="AreaSI_1">#N/A</definedName>
    <definedName name="AreaSI_10">#N/A</definedName>
    <definedName name="AreaSI_11">#N/A</definedName>
    <definedName name="AreaSI_12">#N/A</definedName>
    <definedName name="AreaSI_13">#N/A</definedName>
    <definedName name="AreaSI_14">#N/A</definedName>
    <definedName name="AreaSI_2">#N/A</definedName>
    <definedName name="AreaSI_3">#N/A</definedName>
    <definedName name="AreaSI_4">#N/A</definedName>
    <definedName name="AreaSI_5">#N/A</definedName>
    <definedName name="AreaSI_6">#N/A</definedName>
    <definedName name="AreaSI_7">#N/A</definedName>
    <definedName name="AreaSI_8">#N/A</definedName>
    <definedName name="AreaSI_9">#N/A</definedName>
    <definedName name="AreaST">#N/A</definedName>
    <definedName name="AreaST_1">#N/A</definedName>
    <definedName name="AreaST_10">#N/A</definedName>
    <definedName name="AreaST_11">#N/A</definedName>
    <definedName name="AreaST_12">#N/A</definedName>
    <definedName name="AreaST_13">#N/A</definedName>
    <definedName name="AreaST_14">#N/A</definedName>
    <definedName name="AreaST_2">#N/A</definedName>
    <definedName name="AreaST_3">#N/A</definedName>
    <definedName name="AreaST_4">#N/A</definedName>
    <definedName name="AreaST_5">#N/A</definedName>
    <definedName name="AreaST_6">#N/A</definedName>
    <definedName name="AreaST_7">#N/A</definedName>
    <definedName name="AreaST_8">#N/A</definedName>
    <definedName name="AreaST_9">#N/A</definedName>
    <definedName name="AreaUS">#N/A</definedName>
    <definedName name="AreaUS_1">#N/A</definedName>
    <definedName name="AreaUS_10">#N/A</definedName>
    <definedName name="AreaUS_11">#N/A</definedName>
    <definedName name="AreaUS_12">#N/A</definedName>
    <definedName name="AreaUS_13">#N/A</definedName>
    <definedName name="AreaUS_14">#N/A</definedName>
    <definedName name="AreaUS_2">#N/A</definedName>
    <definedName name="AreaUS_3">#N/A</definedName>
    <definedName name="AreaUS_4">#N/A</definedName>
    <definedName name="AreaUS_5">#N/A</definedName>
    <definedName name="AreaUS_6">#N/A</definedName>
    <definedName name="AreaUS_7">#N/A</definedName>
    <definedName name="AreaUS_8">#N/A</definedName>
    <definedName name="AreaUS_9">#N/A</definedName>
    <definedName name="AreaVR">#N/A</definedName>
    <definedName name="AreaVR_1">#N/A</definedName>
    <definedName name="AreaVR_10">#N/A</definedName>
    <definedName name="AreaVR_11">#N/A</definedName>
    <definedName name="AreaVR_12">#N/A</definedName>
    <definedName name="AreaVR_13">#N/A</definedName>
    <definedName name="AreaVR_14">#N/A</definedName>
    <definedName name="AreaVR_2">#N/A</definedName>
    <definedName name="AreaVR_3">#N/A</definedName>
    <definedName name="AreaVR_4">#N/A</definedName>
    <definedName name="AreaVR_5">#N/A</definedName>
    <definedName name="AreaVR_6">#N/A</definedName>
    <definedName name="AreaVR_7">#N/A</definedName>
    <definedName name="AreaVR_8">#N/A</definedName>
    <definedName name="AreaVR_9">#N/A</definedName>
    <definedName name="DialRadius">[2]Gauge!$M$2</definedName>
    <definedName name="DialRadiusA">[2]Dashboard!$Q$2</definedName>
    <definedName name="DialRadiusB">[2]Dashboard!$Q$37</definedName>
    <definedName name="DialXCenter">[2]Gauge!$M$3</definedName>
    <definedName name="DialXCenterA">[2]Dashboard!$Q$3</definedName>
    <definedName name="DialXCenterB">[2]Dashboard!$Q$38</definedName>
    <definedName name="DialYCenter">[2]Gauge!$N$3</definedName>
    <definedName name="DialYCenterA">[2]Dashboard!$R$3</definedName>
    <definedName name="DialYCenterB">[2]Dashboard!$R$38</definedName>
    <definedName name="filteredList">'[3]type ahead combo'!$E$6:$E$52</definedName>
    <definedName name="filterList">getList('[3]type ahead combo'!$C$6:$C$52,'[3]type ahead combo'!$F$7)</definedName>
    <definedName name="NoName">#N/A</definedName>
    <definedName name="NoName_1">#N/A</definedName>
    <definedName name="NoName_10">#N/A</definedName>
    <definedName name="NoName_11">#N/A</definedName>
    <definedName name="NoName_12">#N/A</definedName>
    <definedName name="NoName_13">#N/A</definedName>
    <definedName name="NoName_14">#N/A</definedName>
    <definedName name="NoName_2">#N/A</definedName>
    <definedName name="NoName_3">#N/A</definedName>
    <definedName name="NoName_4">#N/A</definedName>
    <definedName name="NoName_5">#N/A</definedName>
    <definedName name="NoName_6">#N/A</definedName>
    <definedName name="NoName_7">#N/A</definedName>
    <definedName name="NoName_8">#N/A</definedName>
    <definedName name="NoName_9">#N/A</definedName>
    <definedName name="NoName2">#N/A</definedName>
    <definedName name="NoName2_1">#N/A</definedName>
    <definedName name="NoName2_10">#N/A</definedName>
    <definedName name="NoName2_11">#N/A</definedName>
    <definedName name="NoName2_12">#N/A</definedName>
    <definedName name="NoName2_13">#N/A</definedName>
    <definedName name="NoName2_14">#N/A</definedName>
    <definedName name="NoName2_2">#N/A</definedName>
    <definedName name="NoName2_3">#N/A</definedName>
    <definedName name="NoName2_4">#N/A</definedName>
    <definedName name="NoName2_5">#N/A</definedName>
    <definedName name="NoName2_6">#N/A</definedName>
    <definedName name="NoName2_7">#N/A</definedName>
    <definedName name="NoName2_8">#N/A</definedName>
    <definedName name="NoName2_9">#N/A</definedName>
    <definedName name="NoOfFeatures">'[4]Testing Characteristics'!$A$41:$A$44</definedName>
    <definedName name="Ntesting">#REF!</definedName>
    <definedName name="_xlnm.Print_Area" localSheetId="2">'Ambiguity Defects'!$A$2:$M$11</definedName>
    <definedName name="_xlnm.Print_Area" localSheetId="4">'Revision History'!$A$1:$F$11</definedName>
    <definedName name="Radius">[2]Gauge!$C$2</definedName>
    <definedName name="RadiusA">[2]Dashboard!$C$2</definedName>
    <definedName name="RadiusB">[2]Dashboard!$C$37</definedName>
    <definedName name="Tstatus">#REF!</definedName>
    <definedName name="Unnamed">#N/A</definedName>
    <definedName name="Unnamed_1">#N/A</definedName>
    <definedName name="Unnamed_10">#N/A</definedName>
    <definedName name="Unnamed_11">#N/A</definedName>
    <definedName name="Unnamed_12">#N/A</definedName>
    <definedName name="Unnamed_13">#N/A</definedName>
    <definedName name="Unnamed_14">#N/A</definedName>
    <definedName name="Unnamed_2">#N/A</definedName>
    <definedName name="Unnamed_3">#N/A</definedName>
    <definedName name="Unnamed_4">#N/A</definedName>
    <definedName name="Unnamed_5">#N/A</definedName>
    <definedName name="Unnamed_6">#N/A</definedName>
    <definedName name="Unnamed_7">#N/A</definedName>
    <definedName name="Unnamed_8">#N/A</definedName>
    <definedName name="Unnamed_9">#N/A</definedName>
    <definedName name="XCenter">[2]Gauge!$C$3</definedName>
    <definedName name="XCenterA">[2]Dashboard!$C$3</definedName>
    <definedName name="XCenterB">[2]Dashboard!$C$38</definedName>
    <definedName name="YCenter">[2]Gauge!$D$3</definedName>
    <definedName name="YCenterA">[2]Dashboard!$D$3</definedName>
    <definedName name="YCenterB">[2]Dashboard!$D$38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F6" i="8" l="1"/>
  <c r="I6" i="8"/>
  <c r="F5" i="8"/>
  <c r="I17" i="8" l="1"/>
  <c r="H17" i="8"/>
  <c r="G17" i="8"/>
  <c r="F17" i="8"/>
  <c r="E17" i="8"/>
  <c r="I16" i="8"/>
  <c r="H16" i="8"/>
  <c r="G16" i="8"/>
  <c r="F16" i="8"/>
  <c r="E16" i="8"/>
  <c r="I15" i="8"/>
  <c r="H15" i="8"/>
  <c r="G15" i="8"/>
  <c r="F15" i="8"/>
  <c r="E15" i="8"/>
  <c r="I14" i="8"/>
  <c r="H14" i="8"/>
  <c r="G14" i="8"/>
  <c r="F14" i="8"/>
  <c r="E14" i="8"/>
  <c r="I13" i="8"/>
  <c r="H13" i="8"/>
  <c r="G13" i="8"/>
  <c r="F13" i="8"/>
  <c r="E13" i="8"/>
  <c r="I12" i="8"/>
  <c r="H12" i="8"/>
  <c r="G12" i="8"/>
  <c r="F12" i="8"/>
  <c r="E12" i="8"/>
  <c r="I11" i="8"/>
  <c r="H11" i="8"/>
  <c r="G11" i="8"/>
  <c r="F11" i="8"/>
  <c r="E11" i="8"/>
  <c r="I10" i="8"/>
  <c r="H10" i="8"/>
  <c r="G10" i="8"/>
  <c r="F10" i="8"/>
  <c r="E10" i="8"/>
  <c r="I9" i="8"/>
  <c r="H9" i="8"/>
  <c r="G9" i="8"/>
  <c r="F9" i="8"/>
  <c r="E9" i="8"/>
  <c r="I8" i="8"/>
  <c r="H8" i="8"/>
  <c r="G8" i="8"/>
  <c r="F8" i="8"/>
  <c r="E8" i="8"/>
  <c r="I7" i="8"/>
  <c r="H7" i="8"/>
  <c r="G7" i="8"/>
  <c r="F7" i="8"/>
  <c r="E7" i="8"/>
  <c r="H6" i="8"/>
  <c r="G6" i="8"/>
  <c r="E6" i="8"/>
  <c r="I5" i="8"/>
  <c r="H5" i="8"/>
  <c r="G5" i="8"/>
  <c r="E5" i="8"/>
  <c r="N29" i="5"/>
  <c r="M29" i="5"/>
  <c r="L29" i="5"/>
  <c r="K29" i="5"/>
  <c r="I29" i="5"/>
  <c r="F29" i="5"/>
  <c r="E29" i="5"/>
  <c r="D29" i="5"/>
  <c r="C29" i="5"/>
  <c r="N5" i="5"/>
  <c r="M5" i="5"/>
  <c r="L5" i="5"/>
  <c r="K5" i="5"/>
  <c r="C5" i="5"/>
  <c r="D5" i="5"/>
  <c r="E5" i="5"/>
  <c r="F5" i="5"/>
  <c r="J6" i="8" l="1"/>
  <c r="J14" i="8"/>
  <c r="J10" i="8"/>
  <c r="J13" i="8"/>
  <c r="J9" i="8"/>
  <c r="J12" i="8"/>
  <c r="J17" i="8"/>
  <c r="J11" i="8"/>
  <c r="J8" i="8"/>
  <c r="J16" i="8"/>
  <c r="J15" i="8"/>
  <c r="J5" i="8"/>
  <c r="G5" i="5"/>
  <c r="J7" i="8"/>
  <c r="G2" i="8" l="1"/>
  <c r="K17" i="10" s="1"/>
  <c r="J18" i="10" s="1"/>
  <c r="L20" i="10" s="1"/>
  <c r="N20" i="10" s="1"/>
  <c r="M20" i="10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</author>
  </authors>
  <commentList>
    <comment ref="C3" authorId="0" shapeId="0" xr:uid="{00000000-0006-0000-0100-000001000000}">
      <text>
        <r>
          <rPr>
            <b/>
            <sz val="9"/>
            <color indexed="81"/>
            <rFont val="Tahoma"/>
            <family val="2"/>
          </rPr>
          <t>Depending on the project and domain the Quality Attribute Weightage can be modified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D4" authorId="0" shapeId="0" xr:uid="{00000000-0006-0000-0100-000002000000}">
      <text>
        <r>
          <rPr>
            <b/>
            <sz val="9"/>
            <color indexed="81"/>
            <rFont val="Tahoma"/>
            <family val="2"/>
          </rPr>
          <t>Importance of the requirement to be reviewed and finalized by working with customer BA/Business team. This will impact the overall RAI
Incase of non availability of this information, all requirements can be selected as "High" and template can be used as-is.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</author>
  </authors>
  <commentList>
    <comment ref="B2" authorId="0" shapeId="0" xr:uid="{00000000-0006-0000-0400-000001000000}">
      <text>
        <r>
          <rPr>
            <b/>
            <sz val="9"/>
            <color indexed="81"/>
            <rFont val="Tahoma"/>
            <family val="2"/>
          </rPr>
          <t>DD-MON-YYYY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<sst xmlns="http://schemas.openxmlformats.org/spreadsheetml/2006/main" count="276" uniqueCount="124">
  <si>
    <t>Requirements Ambiguity Dashboard</t>
  </si>
  <si>
    <t>Defect Status</t>
  </si>
  <si>
    <t xml:space="preserve">Total </t>
  </si>
  <si>
    <t>Defects by Quality Attributes</t>
  </si>
  <si>
    <t>Open</t>
  </si>
  <si>
    <t>Pending</t>
  </si>
  <si>
    <t>Closed</t>
  </si>
  <si>
    <t>Rejected</t>
  </si>
  <si>
    <t>Clarity</t>
  </si>
  <si>
    <t>Completeness</t>
  </si>
  <si>
    <t>Consistency</t>
  </si>
  <si>
    <t>Testability</t>
  </si>
  <si>
    <t>Defect Severity</t>
  </si>
  <si>
    <t>Defects by Design Area</t>
  </si>
  <si>
    <t>Critical</t>
  </si>
  <si>
    <t>High</t>
  </si>
  <si>
    <t>Medium</t>
  </si>
  <si>
    <t>Low</t>
  </si>
  <si>
    <t>Business Logic</t>
  </si>
  <si>
    <t>Functional</t>
  </si>
  <si>
    <t>Validation Rules</t>
  </si>
  <si>
    <t>Non-Functional</t>
  </si>
  <si>
    <t>Dependency</t>
  </si>
  <si>
    <t xml:space="preserve"> </t>
  </si>
  <si>
    <t>Requirement Ambiguity Index (RAI)</t>
  </si>
  <si>
    <t>S.No</t>
  </si>
  <si>
    <t>Requirement ID</t>
  </si>
  <si>
    <t>Quality Attribute Weightage --&gt;</t>
  </si>
  <si>
    <t>RAI</t>
  </si>
  <si>
    <r>
      <rPr>
        <b/>
        <u/>
        <sz val="11"/>
        <color theme="1"/>
        <rFont val="Arial"/>
        <family val="2"/>
      </rPr>
      <t>Legend for RAI value:</t>
    </r>
    <r>
      <rPr>
        <b/>
        <sz val="11"/>
        <color theme="1"/>
        <rFont val="Arial"/>
        <family val="2"/>
      </rPr>
      <t xml:space="preserve">
</t>
    </r>
    <r>
      <rPr>
        <sz val="11"/>
        <color theme="1"/>
        <rFont val="Arial"/>
        <family val="2"/>
      </rPr>
      <t xml:space="preserve">0% to 10%        : Green
&gt;10% to 30%    : Yellow
&gt;30% to 50%    : Orange
&gt;50% to 100%  : Red </t>
    </r>
    <r>
      <rPr>
        <b/>
        <sz val="11"/>
        <color theme="1"/>
        <rFont val="Arial"/>
        <family val="2"/>
      </rPr>
      <t xml:space="preserve"> </t>
    </r>
  </si>
  <si>
    <t>Requirement Description</t>
  </si>
  <si>
    <t>Requirement Importance</t>
  </si>
  <si>
    <t>Importance</t>
  </si>
  <si>
    <t>3.1 - Credit Card Criteria</t>
  </si>
  <si>
    <t xml:space="preserve">The Payment Platform will provide the details on card type (i.e. if the card is a gift card or prepaid card) </t>
  </si>
  <si>
    <t>3.6 - Certification</t>
  </si>
  <si>
    <t>3.7 - Reporting</t>
  </si>
  <si>
    <t>3.9 - Auth.net Migration to Payment Platform</t>
  </si>
  <si>
    <t>3.3 - SPI Policy Admin Tool</t>
  </si>
  <si>
    <t>Defect Report</t>
  </si>
  <si>
    <t>Defect ID</t>
  </si>
  <si>
    <t>Feature ID / Name</t>
  </si>
  <si>
    <t>Sub Feature</t>
  </si>
  <si>
    <t>Ambiguity Description</t>
  </si>
  <si>
    <t>Design Area</t>
  </si>
  <si>
    <t>Quality Attribute</t>
  </si>
  <si>
    <t>Severity</t>
  </si>
  <si>
    <t>Status</t>
  </si>
  <si>
    <t>Date opened</t>
  </si>
  <si>
    <t>Corrective Response</t>
  </si>
  <si>
    <t>Resolution</t>
  </si>
  <si>
    <t>Date Closed</t>
  </si>
  <si>
    <t>Comments</t>
  </si>
  <si>
    <t>Defect 01</t>
  </si>
  <si>
    <t>Defect 02</t>
  </si>
  <si>
    <t>List of gift cards and Prepaid cards</t>
  </si>
  <si>
    <t>Defect 03</t>
  </si>
  <si>
    <t>Defect 04</t>
  </si>
  <si>
    <t>Defect 05</t>
  </si>
  <si>
    <t>Defect 06</t>
  </si>
  <si>
    <t>Defect 07</t>
  </si>
  <si>
    <t>Defect 08</t>
  </si>
  <si>
    <t>Defect 09</t>
  </si>
  <si>
    <t>Defect 10</t>
  </si>
  <si>
    <t>Defect 11</t>
  </si>
  <si>
    <t>Defect 12</t>
  </si>
  <si>
    <t>Defect 13</t>
  </si>
  <si>
    <t>Column Name</t>
  </si>
  <si>
    <t>Description</t>
  </si>
  <si>
    <t xml:space="preserve">Serial number of the ambiguity ID  </t>
  </si>
  <si>
    <t>Unique Identifier of a capability / feature</t>
  </si>
  <si>
    <t>Feature ID  / Name</t>
  </si>
  <si>
    <t>Details on the Feature name  / section of the documentation under which the issue was identified</t>
  </si>
  <si>
    <t>Details of the sub feature name in case of multiple features</t>
  </si>
  <si>
    <t>Description of the issue or defect raised</t>
  </si>
  <si>
    <t xml:space="preserve">Design Area </t>
  </si>
  <si>
    <t>Classification of the issue identified from a functional standpoint of the application</t>
  </si>
  <si>
    <t xml:space="preserve">Quality Attribute </t>
  </si>
  <si>
    <t>Quality attributes for the particular defect raised</t>
  </si>
  <si>
    <t>Severity of the issue identified</t>
  </si>
  <si>
    <t xml:space="preserve">Status of the defect
</t>
  </si>
  <si>
    <t>The date in which defect raised</t>
  </si>
  <si>
    <t>Response from the stakeholder</t>
  </si>
  <si>
    <t>Final decision on the defect</t>
  </si>
  <si>
    <t>The date in which defect is closed</t>
  </si>
  <si>
    <t>Quality Attributes</t>
  </si>
  <si>
    <t>Information furnished lacks ease to understand or comprehend in the business context</t>
  </si>
  <si>
    <t xml:space="preserve">2 different requirements that cannot both be true at the same time (And/Or)
2 instances of same requirement having different explanations
</t>
  </si>
  <si>
    <t>Requirement is partially addressing the context of application</t>
  </si>
  <si>
    <t>Requirement may not be testable due to absence of one or more conditions</t>
  </si>
  <si>
    <t>Design Areas</t>
  </si>
  <si>
    <t>Business / Domain context of a particular functionality</t>
  </si>
  <si>
    <t>Related to the functionality, specific to the application or product</t>
  </si>
  <si>
    <t>Related to the set of validation criteria's that needs to be applied on a particular item/column of the application</t>
  </si>
  <si>
    <t xml:space="preserve">Issues/ Defects that are in non-functional but required in context </t>
  </si>
  <si>
    <t>In context to the dependencies between functionalities or Interfaces</t>
  </si>
  <si>
    <t>Missing or incomplete requirements
Deviation from the business flow or requirements
Example: Incorrect business logic or missing data mapping</t>
  </si>
  <si>
    <t>Missing the context of the functionality
Misleading or contradictory requirements</t>
  </si>
  <si>
    <t>Requirements not represented in proper format for business understanding</t>
  </si>
  <si>
    <t>Enhancements or useful information that could be added in for better insight</t>
  </si>
  <si>
    <t>Any new issue/defect identified, that needs to be addressed</t>
  </si>
  <si>
    <t>Any issue/defect identified, that has been assigned to the respective owner and awaiting clarifications</t>
  </si>
  <si>
    <t>Issues/Defects that have been addressed to the satisfaction of the team</t>
  </si>
  <si>
    <t>Issues//Defects that are rejected by the client</t>
  </si>
  <si>
    <t>Version Number</t>
  </si>
  <si>
    <t>Release Date</t>
  </si>
  <si>
    <t>Prepared By</t>
  </si>
  <si>
    <t>Reviewed By</t>
  </si>
  <si>
    <t>Approved By</t>
  </si>
  <si>
    <t>Summary of Changes</t>
  </si>
  <si>
    <t>1.0</t>
  </si>
  <si>
    <t>Initial Version</t>
  </si>
  <si>
    <t>Donut</t>
  </si>
  <si>
    <t>Value</t>
  </si>
  <si>
    <t>Angle</t>
  </si>
  <si>
    <t>X</t>
  </si>
  <si>
    <t>Y</t>
  </si>
  <si>
    <t>For Label</t>
  </si>
  <si>
    <t>R=1</t>
  </si>
  <si>
    <t>Max</t>
  </si>
  <si>
    <t>Min</t>
  </si>
  <si>
    <t>R</t>
  </si>
  <si>
    <t>Prasad</t>
  </si>
  <si>
    <t>GAV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</si>
</sst>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409]d\-mmm\-yyyy;@"/>
    <numFmt numFmtId="165" formatCode="[$-409]d/mmm/yy;@"/>
  </numFmts>
  <fonts count="48">
    <font>
      <sz val="11"/>
      <color theme="1"/>
      <name val="Calibri"/>
      <family val="2"/>
      <scheme val="minor"/>
    </font>
    <font>
      <sz val="9"/>
      <name val="Arial"/>
      <family val="2"/>
    </font>
    <font>
      <b/>
      <sz val="9"/>
      <name val="Arial"/>
      <family val="2"/>
    </font>
    <font>
      <sz val="8"/>
      <color indexed="8"/>
      <name val="Arial"/>
      <family val="2"/>
    </font>
    <font>
      <sz val="9"/>
      <color indexed="8"/>
      <name val="Arial"/>
      <family val="2"/>
    </font>
    <font>
      <sz val="8"/>
      <name val="Calibri"/>
      <family val="2"/>
    </font>
    <font>
      <sz val="10"/>
      <name val="Arial"/>
      <family val="2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11"/>
      <color indexed="8"/>
      <name val="Calibri"/>
      <family val="2"/>
      <scheme val="minor"/>
    </font>
    <font>
      <u/>
      <sz val="11"/>
      <color theme="10"/>
      <name val="Calibri"/>
      <family val="2"/>
    </font>
    <font>
      <sz val="1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9"/>
      <name val="Calibri"/>
      <family val="2"/>
      <scheme val="minor"/>
    </font>
    <font>
      <sz val="9"/>
      <color indexed="56"/>
      <name val="Calibri"/>
      <family val="2"/>
      <scheme val="minor"/>
    </font>
    <font>
      <b/>
      <sz val="9"/>
      <name val="Calibri"/>
      <family val="2"/>
      <scheme val="minor"/>
    </font>
    <font>
      <sz val="9"/>
      <color indexed="56"/>
      <name val="Arial"/>
      <family val="2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20"/>
      <color indexed="9"/>
      <name val="Arial"/>
      <family val="2"/>
    </font>
    <font>
      <b/>
      <sz val="11"/>
      <color rgb="FF000000"/>
      <name val="Arial"/>
      <family val="2"/>
    </font>
    <font>
      <b/>
      <sz val="11"/>
      <name val="Arial"/>
      <family val="2"/>
    </font>
    <font>
      <sz val="12"/>
      <color indexed="8"/>
      <name val="Arial"/>
      <family val="2"/>
    </font>
    <font>
      <sz val="10"/>
      <color indexed="8"/>
      <name val="Arial"/>
      <family val="2"/>
    </font>
    <font>
      <b/>
      <sz val="10"/>
      <name val="Arial"/>
      <family val="2"/>
    </font>
    <font>
      <sz val="10"/>
      <name val="Calibri"/>
      <family val="2"/>
      <scheme val="minor"/>
    </font>
    <font>
      <sz val="11"/>
      <color theme="0"/>
      <name val="Arial"/>
      <family val="2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sz val="11"/>
      <color indexed="9"/>
      <name val="Calibri"/>
      <family val="2"/>
    </font>
    <font>
      <sz val="10"/>
      <color indexed="8"/>
      <name val="Arial1"/>
    </font>
    <font>
      <sz val="11"/>
      <name val="돋움"/>
    </font>
    <font>
      <sz val="11"/>
      <color indexed="8"/>
      <name val="Calibri"/>
      <family val="2"/>
    </font>
    <font>
      <b/>
      <sz val="11"/>
      <color theme="1"/>
      <name val="Arial"/>
      <family val="2"/>
    </font>
    <font>
      <b/>
      <sz val="20"/>
      <color theme="0"/>
      <name val="Arial"/>
      <family val="2"/>
    </font>
    <font>
      <b/>
      <sz val="12"/>
      <color indexed="9"/>
      <name val="Arial"/>
      <family val="2"/>
    </font>
    <font>
      <b/>
      <sz val="20"/>
      <name val="Arial"/>
      <family val="2"/>
    </font>
    <font>
      <b/>
      <sz val="11"/>
      <name val="Calibri"/>
      <family val="2"/>
      <scheme val="minor"/>
    </font>
    <font>
      <sz val="14"/>
      <color theme="1"/>
      <name val="Calibri"/>
      <family val="2"/>
      <scheme val="minor"/>
    </font>
    <font>
      <sz val="12"/>
      <name val="Times New Roman"/>
      <family val="1"/>
    </font>
    <font>
      <u/>
      <sz val="10"/>
      <color indexed="12"/>
      <name val="Arial"/>
      <family val="2"/>
    </font>
    <font>
      <sz val="12"/>
      <color theme="0"/>
      <name val="Times New Roman"/>
      <family val="1"/>
    </font>
    <font>
      <sz val="11"/>
      <color theme="1"/>
      <name val="Arial"/>
      <family val="2"/>
    </font>
    <font>
      <b/>
      <u/>
      <sz val="11"/>
      <color theme="1"/>
      <name val="Arial"/>
      <family val="2"/>
    </font>
    <font>
      <sz val="10"/>
      <color rgb="FF000000"/>
      <name val="Calibri"/>
      <family val="2"/>
      <scheme val="minor"/>
    </font>
    <font>
      <sz val="10"/>
      <color theme="1"/>
      <name val="Calibri"/>
      <family val="2"/>
      <scheme val="minor"/>
    </font>
    <font>
      <sz val="9"/>
      <color rgb="FF000000"/>
      <name val="Arial"/>
      <family val="2"/>
    </font>
    <font>
      <sz val="9"/>
      <color theme="1"/>
      <name val="Arial"/>
      <family val="2"/>
    </font>
  </fonts>
  <fills count="1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rgb="FF004B87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rgb="FF0070C0"/>
        <bgColor indexed="64"/>
      </patternFill>
    </fill>
  </fills>
  <borders count="26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8"/>
      </left>
      <right style="thin">
        <color rgb="FF000000"/>
      </right>
      <top/>
      <bottom style="thin">
        <color indexed="64"/>
      </bottom>
      <diagonal/>
    </border>
    <border>
      <left style="thin">
        <color auto="1"/>
      </left>
      <right/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8"/>
      </left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auto="1"/>
      </bottom>
      <diagonal/>
    </border>
  </borders>
  <cellStyleXfs count="27">
    <xf numFmtId="0" fontId="0" fillId="0" borderId="0"/>
    <xf numFmtId="0" fontId="6" fillId="0" borderId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10" fillId="0" borderId="0" applyNumberFormat="0" applyFill="0" applyBorder="0" applyAlignment="0" applyProtection="0">
      <alignment vertical="top"/>
      <protection locked="0"/>
    </xf>
    <xf numFmtId="9" fontId="18" fillId="0" borderId="0" applyFont="0" applyFill="0" applyBorder="0" applyAlignment="0" applyProtection="0"/>
    <xf numFmtId="0" fontId="6" fillId="0" borderId="0"/>
    <xf numFmtId="0" fontId="29" fillId="3" borderId="0"/>
    <xf numFmtId="0" fontId="30" fillId="0" borderId="0"/>
    <xf numFmtId="0" fontId="30" fillId="0" borderId="0"/>
    <xf numFmtId="0" fontId="30" fillId="0" borderId="0"/>
    <xf numFmtId="0" fontId="31" fillId="0" borderId="0"/>
    <xf numFmtId="0" fontId="32" fillId="9" borderId="5"/>
    <xf numFmtId="0" fontId="18" fillId="0" borderId="0"/>
    <xf numFmtId="0" fontId="40" fillId="0" borderId="0" applyNumberFormat="0" applyFill="0" applyBorder="0" applyAlignment="0" applyProtection="0">
      <alignment vertical="top"/>
      <protection locked="0"/>
    </xf>
    <xf numFmtId="0" fontId="18" fillId="0" borderId="0"/>
    <xf numFmtId="0" fontId="18" fillId="0" borderId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6" fillId="0" borderId="0" applyFont="0" applyFill="0" applyBorder="0" applyAlignment="0" applyProtection="0"/>
  </cellStyleXfs>
  <cellXfs count="125">
    <xf numFmtId="0" fontId="0" fillId="0" borderId="0" xfId="0"/>
    <xf numFmtId="0" fontId="3" fillId="2" borderId="0" xfId="0" applyFont="1" applyFill="1" applyAlignment="1">
      <alignment wrapText="1"/>
    </xf>
    <xf numFmtId="0" fontId="4" fillId="2" borderId="0" xfId="0" applyFont="1" applyFill="1"/>
    <xf numFmtId="0" fontId="13" fillId="2" borderId="0" xfId="0" applyFont="1" applyFill="1" applyAlignment="1">
      <alignment wrapText="1"/>
    </xf>
    <xf numFmtId="0" fontId="13" fillId="2" borderId="0" xfId="0" applyFont="1" applyFill="1" applyAlignment="1">
      <alignment horizontal="center" vertical="center" wrapText="1"/>
    </xf>
    <xf numFmtId="0" fontId="13" fillId="2" borderId="0" xfId="0" applyFont="1" applyFill="1" applyAlignment="1">
      <alignment vertical="center" wrapText="1"/>
    </xf>
    <xf numFmtId="0" fontId="15" fillId="2" borderId="0" xfId="0" applyFont="1" applyFill="1" applyAlignment="1">
      <alignment vertical="top" wrapText="1"/>
    </xf>
    <xf numFmtId="0" fontId="1" fillId="2" borderId="0" xfId="0" applyFont="1" applyFill="1" applyAlignment="1">
      <alignment wrapText="1"/>
    </xf>
    <xf numFmtId="0" fontId="0" fillId="0" borderId="0" xfId="0" applyAlignment="1">
      <alignment horizontal="center" vertical="center"/>
    </xf>
    <xf numFmtId="0" fontId="0" fillId="0" borderId="0" xfId="0" applyAlignment="1">
      <alignment vertical="center"/>
    </xf>
    <xf numFmtId="0" fontId="23" fillId="2" borderId="0" xfId="0" applyFont="1" applyFill="1"/>
    <xf numFmtId="0" fontId="4" fillId="2" borderId="0" xfId="0" applyFont="1" applyFill="1" applyAlignment="1">
      <alignment vertical="center"/>
    </xf>
    <xf numFmtId="0" fontId="25" fillId="0" borderId="0" xfId="12" applyFont="1" applyAlignment="1">
      <alignment horizontal="center" vertical="center" wrapText="1"/>
    </xf>
    <xf numFmtId="0" fontId="25" fillId="0" borderId="0" xfId="12" applyFont="1" applyAlignment="1">
      <alignment wrapText="1"/>
    </xf>
    <xf numFmtId="0" fontId="6" fillId="0" borderId="0" xfId="1"/>
    <xf numFmtId="0" fontId="26" fillId="6" borderId="1" xfId="1" applyFont="1" applyFill="1" applyBorder="1" applyAlignment="1">
      <alignment horizontal="center" vertical="center" wrapText="1"/>
    </xf>
    <xf numFmtId="49" fontId="6" fillId="0" borderId="3" xfId="1" applyNumberFormat="1" applyBorder="1" applyAlignment="1">
      <alignment horizontal="center" wrapText="1"/>
    </xf>
    <xf numFmtId="164" fontId="6" fillId="0" borderId="3" xfId="1" applyNumberFormat="1" applyBorder="1" applyAlignment="1">
      <alignment horizontal="center" wrapText="1"/>
    </xf>
    <xf numFmtId="0" fontId="6" fillId="0" borderId="3" xfId="1" applyBorder="1" applyAlignment="1">
      <alignment horizontal="center" wrapText="1"/>
    </xf>
    <xf numFmtId="0" fontId="6" fillId="0" borderId="3" xfId="1" applyBorder="1" applyAlignment="1">
      <alignment wrapText="1"/>
    </xf>
    <xf numFmtId="0" fontId="33" fillId="0" borderId="0" xfId="0" applyFont="1" applyAlignment="1">
      <alignment vertical="center"/>
    </xf>
    <xf numFmtId="0" fontId="0" fillId="0" borderId="0" xfId="0" applyAlignment="1">
      <alignment vertical="center" wrapText="1"/>
    </xf>
    <xf numFmtId="0" fontId="0" fillId="0" borderId="0" xfId="0" applyAlignment="1">
      <alignment horizontal="center" vertical="center" wrapText="1"/>
    </xf>
    <xf numFmtId="0" fontId="21" fillId="8" borderId="2" xfId="0" applyFont="1" applyFill="1" applyBorder="1" applyAlignment="1">
      <alignment horizontal="center" vertical="center" wrapText="1" readingOrder="1"/>
    </xf>
    <xf numFmtId="0" fontId="15" fillId="7" borderId="0" xfId="0" applyFont="1" applyFill="1" applyAlignment="1">
      <alignment horizontal="center" vertical="center" wrapText="1"/>
    </xf>
    <xf numFmtId="0" fontId="15" fillId="2" borderId="0" xfId="0" applyFont="1" applyFill="1" applyAlignment="1">
      <alignment horizontal="center" vertical="center" wrapText="1"/>
    </xf>
    <xf numFmtId="0" fontId="12" fillId="6" borderId="8" xfId="0" applyFont="1" applyFill="1" applyBorder="1" applyAlignment="1">
      <alignment vertical="top" wrapText="1"/>
    </xf>
    <xf numFmtId="0" fontId="14" fillId="2" borderId="0" xfId="0" applyFont="1" applyFill="1" applyAlignment="1">
      <alignment vertical="center" wrapText="1"/>
    </xf>
    <xf numFmtId="0" fontId="1" fillId="2" borderId="0" xfId="0" applyFont="1" applyFill="1" applyAlignment="1">
      <alignment vertical="center" wrapText="1"/>
    </xf>
    <xf numFmtId="0" fontId="16" fillId="2" borderId="0" xfId="0" applyFont="1" applyFill="1" applyAlignment="1">
      <alignment vertical="center" wrapText="1"/>
    </xf>
    <xf numFmtId="0" fontId="22" fillId="2" borderId="0" xfId="0" applyFont="1" applyFill="1" applyAlignment="1">
      <alignment wrapText="1"/>
    </xf>
    <xf numFmtId="0" fontId="4" fillId="6" borderId="9" xfId="0" applyFont="1" applyFill="1" applyBorder="1"/>
    <xf numFmtId="0" fontId="4" fillId="6" borderId="4" xfId="0" applyFont="1" applyFill="1" applyBorder="1"/>
    <xf numFmtId="0" fontId="23" fillId="6" borderId="9" xfId="0" applyFont="1" applyFill="1" applyBorder="1"/>
    <xf numFmtId="0" fontId="23" fillId="6" borderId="4" xfId="0" applyFont="1" applyFill="1" applyBorder="1"/>
    <xf numFmtId="0" fontId="4" fillId="6" borderId="11" xfId="0" applyFont="1" applyFill="1" applyBorder="1" applyAlignment="1">
      <alignment vertical="center"/>
    </xf>
    <xf numFmtId="0" fontId="4" fillId="6" borderId="10" xfId="0" applyFont="1" applyFill="1" applyBorder="1" applyAlignment="1">
      <alignment vertical="center"/>
    </xf>
    <xf numFmtId="0" fontId="21" fillId="10" borderId="2" xfId="0" applyFont="1" applyFill="1" applyBorder="1" applyAlignment="1">
      <alignment horizontal="center" vertical="center" wrapText="1" readingOrder="1"/>
    </xf>
    <xf numFmtId="0" fontId="4" fillId="6" borderId="0" xfId="0" applyFont="1" applyFill="1"/>
    <xf numFmtId="0" fontId="23" fillId="6" borderId="0" xfId="0" applyFont="1" applyFill="1"/>
    <xf numFmtId="0" fontId="4" fillId="6" borderId="12" xfId="0" applyFont="1" applyFill="1" applyBorder="1" applyAlignment="1">
      <alignment vertical="center"/>
    </xf>
    <xf numFmtId="0" fontId="4" fillId="6" borderId="12" xfId="0" applyFont="1" applyFill="1" applyBorder="1"/>
    <xf numFmtId="0" fontId="21" fillId="10" borderId="15" xfId="0" applyFont="1" applyFill="1" applyBorder="1" applyAlignment="1">
      <alignment horizontal="right" vertical="center" wrapText="1" readingOrder="1"/>
    </xf>
    <xf numFmtId="9" fontId="21" fillId="8" borderId="16" xfId="0" applyNumberFormat="1" applyFont="1" applyFill="1" applyBorder="1" applyAlignment="1">
      <alignment horizontal="center" vertical="center" wrapText="1" readingOrder="1"/>
    </xf>
    <xf numFmtId="0" fontId="24" fillId="0" borderId="0" xfId="1" applyFont="1"/>
    <xf numFmtId="0" fontId="24" fillId="0" borderId="0" xfId="1" applyFont="1" applyAlignment="1">
      <alignment horizontal="right"/>
    </xf>
    <xf numFmtId="1" fontId="6" fillId="12" borderId="3" xfId="1" applyNumberFormat="1" applyFill="1" applyBorder="1" applyAlignment="1">
      <alignment horizontal="center"/>
    </xf>
    <xf numFmtId="0" fontId="6" fillId="0" borderId="3" xfId="1" applyBorder="1" applyAlignment="1">
      <alignment horizontal="center"/>
    </xf>
    <xf numFmtId="0" fontId="39" fillId="0" borderId="0" xfId="1" applyFont="1"/>
    <xf numFmtId="2" fontId="6" fillId="0" borderId="3" xfId="1" applyNumberFormat="1" applyBorder="1" applyAlignment="1">
      <alignment horizontal="center"/>
    </xf>
    <xf numFmtId="0" fontId="39" fillId="0" borderId="3" xfId="1" applyFont="1" applyBorder="1" applyAlignment="1">
      <alignment horizontal="center"/>
    </xf>
    <xf numFmtId="2" fontId="6" fillId="0" borderId="3" xfId="1" applyNumberFormat="1" applyBorder="1" applyAlignment="1">
      <alignment horizontal="right"/>
    </xf>
    <xf numFmtId="0" fontId="24" fillId="0" borderId="3" xfId="1" applyFont="1" applyBorder="1" applyAlignment="1">
      <alignment horizontal="center"/>
    </xf>
    <xf numFmtId="2" fontId="6" fillId="0" borderId="3" xfId="1" applyNumberFormat="1" applyBorder="1"/>
    <xf numFmtId="0" fontId="24" fillId="7" borderId="0" xfId="1" applyFont="1" applyFill="1" applyAlignment="1">
      <alignment horizontal="right"/>
    </xf>
    <xf numFmtId="9" fontId="24" fillId="7" borderId="0" xfId="1" applyNumberFormat="1" applyFont="1" applyFill="1"/>
    <xf numFmtId="0" fontId="6" fillId="7" borderId="0" xfId="1" applyFill="1"/>
    <xf numFmtId="0" fontId="39" fillId="7" borderId="0" xfId="1" applyFont="1" applyFill="1" applyAlignment="1">
      <alignment horizontal="center"/>
    </xf>
    <xf numFmtId="1" fontId="6" fillId="7" borderId="0" xfId="1" applyNumberFormat="1" applyFill="1" applyAlignment="1">
      <alignment horizontal="center"/>
    </xf>
    <xf numFmtId="0" fontId="6" fillId="7" borderId="0" xfId="1" applyFill="1" applyAlignment="1">
      <alignment horizontal="center"/>
    </xf>
    <xf numFmtId="2" fontId="6" fillId="7" borderId="0" xfId="1" applyNumberFormat="1" applyFill="1" applyAlignment="1">
      <alignment horizontal="center"/>
    </xf>
    <xf numFmtId="9" fontId="6" fillId="7" borderId="0" xfId="1" applyNumberFormat="1" applyFill="1"/>
    <xf numFmtId="10" fontId="6" fillId="7" borderId="0" xfId="1" applyNumberFormat="1" applyFill="1"/>
    <xf numFmtId="0" fontId="6" fillId="0" borderId="0" xfId="1" applyAlignment="1">
      <alignment horizontal="center"/>
    </xf>
    <xf numFmtId="2" fontId="6" fillId="0" borderId="0" xfId="1" applyNumberFormat="1" applyAlignment="1">
      <alignment horizontal="right"/>
    </xf>
    <xf numFmtId="2" fontId="6" fillId="0" borderId="0" xfId="1" applyNumberFormat="1"/>
    <xf numFmtId="0" fontId="41" fillId="13" borderId="3" xfId="1" applyFont="1" applyFill="1" applyBorder="1" applyAlignment="1">
      <alignment horizontal="center"/>
    </xf>
    <xf numFmtId="9" fontId="6" fillId="11" borderId="0" xfId="1" applyNumberFormat="1" applyFill="1" applyAlignment="1">
      <alignment horizontal="center" vertical="center"/>
    </xf>
    <xf numFmtId="0" fontId="38" fillId="0" borderId="0" xfId="0" applyFont="1" applyAlignment="1">
      <alignment vertical="center" wrapText="1"/>
    </xf>
    <xf numFmtId="0" fontId="44" fillId="0" borderId="3" xfId="0" applyFont="1" applyBorder="1" applyAlignment="1">
      <alignment horizontal="left" vertical="top"/>
    </xf>
    <xf numFmtId="0" fontId="44" fillId="0" borderId="3" xfId="0" applyFont="1" applyBorder="1" applyAlignment="1">
      <alignment horizontal="left" vertical="top" wrapText="1"/>
    </xf>
    <xf numFmtId="0" fontId="44" fillId="0" borderId="3" xfId="0" applyFont="1" applyBorder="1" applyAlignment="1">
      <alignment horizontal="center" vertical="top" wrapText="1"/>
    </xf>
    <xf numFmtId="0" fontId="45" fillId="0" borderId="3" xfId="0" applyFont="1" applyBorder="1" applyAlignment="1">
      <alignment horizontal="left" vertical="top"/>
    </xf>
    <xf numFmtId="0" fontId="45" fillId="0" borderId="3" xfId="0" applyFont="1" applyBorder="1" applyAlignment="1">
      <alignment horizontal="left" vertical="top" wrapText="1"/>
    </xf>
    <xf numFmtId="14" fontId="46" fillId="0" borderId="15" xfId="0" applyNumberFormat="1" applyFont="1" applyBorder="1" applyAlignment="1">
      <alignment horizontal="center" vertical="center"/>
    </xf>
    <xf numFmtId="14" fontId="47" fillId="0" borderId="19" xfId="0" applyNumberFormat="1" applyFont="1" applyBorder="1" applyAlignment="1">
      <alignment horizontal="center" vertical="center" wrapText="1"/>
    </xf>
    <xf numFmtId="165" fontId="45" fillId="0" borderId="3" xfId="0" applyNumberFormat="1" applyFont="1" applyBorder="1" applyAlignment="1">
      <alignment horizontal="left" vertical="top"/>
    </xf>
    <xf numFmtId="0" fontId="46" fillId="0" borderId="19" xfId="0" applyFont="1" applyBorder="1" applyAlignment="1">
      <alignment horizontal="left" vertical="top" wrapText="1"/>
    </xf>
    <xf numFmtId="0" fontId="47" fillId="0" borderId="19" xfId="0" applyFont="1" applyBorder="1" applyAlignment="1">
      <alignment horizontal="left" vertical="top" wrapText="1"/>
    </xf>
    <xf numFmtId="0" fontId="47" fillId="0" borderId="19" xfId="0" applyFont="1" applyBorder="1" applyAlignment="1">
      <alignment horizontal="center" vertical="center" wrapText="1"/>
    </xf>
    <xf numFmtId="0" fontId="4" fillId="6" borderId="20" xfId="0" applyFont="1" applyFill="1" applyBorder="1"/>
    <xf numFmtId="0" fontId="4" fillId="6" borderId="21" xfId="0" applyFont="1" applyFill="1" applyBorder="1"/>
    <xf numFmtId="0" fontId="4" fillId="6" borderId="22" xfId="0" applyFont="1" applyFill="1" applyBorder="1"/>
    <xf numFmtId="0" fontId="0" fillId="6" borderId="23" xfId="0" applyFill="1" applyBorder="1" applyAlignment="1">
      <alignment horizontal="center" vertical="center"/>
    </xf>
    <xf numFmtId="0" fontId="9" fillId="0" borderId="3" xfId="0" applyFont="1" applyBorder="1" applyAlignment="1">
      <alignment horizontal="center" vertical="center" wrapText="1"/>
    </xf>
    <xf numFmtId="0" fontId="9" fillId="2" borderId="3" xfId="0" applyFont="1" applyFill="1" applyBorder="1" applyAlignment="1">
      <alignment horizontal="center" vertical="center" wrapText="1"/>
    </xf>
    <xf numFmtId="0" fontId="9" fillId="0" borderId="3" xfId="0" applyFont="1" applyBorder="1" applyAlignment="1">
      <alignment horizontal="left" vertical="center" wrapText="1"/>
    </xf>
    <xf numFmtId="164" fontId="9" fillId="0" borderId="3" xfId="0" applyNumberFormat="1" applyFont="1" applyBorder="1" applyAlignment="1">
      <alignment horizontal="center" vertical="center" wrapText="1"/>
    </xf>
    <xf numFmtId="0" fontId="35" fillId="6" borderId="3" xfId="0" applyFont="1" applyFill="1" applyBorder="1" applyAlignment="1">
      <alignment horizontal="left" vertical="center" wrapText="1" indent="1"/>
    </xf>
    <xf numFmtId="0" fontId="35" fillId="6" borderId="3" xfId="0" applyFont="1" applyFill="1" applyBorder="1" applyAlignment="1">
      <alignment horizontal="left" vertical="center" wrapText="1"/>
    </xf>
    <xf numFmtId="0" fontId="11" fillId="0" borderId="3" xfId="0" applyFont="1" applyBorder="1" applyAlignment="1">
      <alignment vertical="top" wrapText="1"/>
    </xf>
    <xf numFmtId="0" fontId="6" fillId="5" borderId="3" xfId="0" applyFont="1" applyFill="1" applyBorder="1" applyAlignment="1">
      <alignment horizontal="center" vertical="center"/>
    </xf>
    <xf numFmtId="0" fontId="6" fillId="5" borderId="3" xfId="0" applyFont="1" applyFill="1" applyBorder="1" applyAlignment="1">
      <alignment horizontal="center" vertical="center" wrapText="1"/>
    </xf>
    <xf numFmtId="0" fontId="1" fillId="4" borderId="3" xfId="0" applyFont="1" applyFill="1" applyBorder="1" applyAlignment="1">
      <alignment horizontal="center" vertical="center"/>
    </xf>
    <xf numFmtId="0" fontId="1" fillId="4" borderId="3" xfId="0" applyFont="1" applyFill="1" applyBorder="1" applyAlignment="1">
      <alignment horizontal="center" vertical="center" wrapText="1"/>
    </xf>
    <xf numFmtId="0" fontId="2" fillId="4" borderId="3" xfId="0" applyFont="1" applyFill="1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3" xfId="0" applyBorder="1" applyAlignment="1">
      <alignment horizontal="center" vertical="center" wrapText="1"/>
    </xf>
    <xf numFmtId="0" fontId="0" fillId="10" borderId="3" xfId="0" applyFill="1" applyBorder="1" applyAlignment="1">
      <alignment horizontal="center" vertical="center"/>
    </xf>
    <xf numFmtId="9" fontId="37" fillId="6" borderId="3" xfId="0" applyNumberFormat="1" applyFont="1" applyFill="1" applyBorder="1" applyAlignment="1">
      <alignment horizontal="center" vertical="center"/>
    </xf>
    <xf numFmtId="9" fontId="17" fillId="10" borderId="3" xfId="11" applyFont="1" applyFill="1" applyBorder="1" applyAlignment="1">
      <alignment horizontal="center" vertical="center"/>
    </xf>
    <xf numFmtId="0" fontId="0" fillId="0" borderId="3" xfId="0" applyBorder="1" applyAlignment="1">
      <alignment vertical="center" wrapText="1"/>
    </xf>
    <xf numFmtId="0" fontId="20" fillId="8" borderId="24" xfId="12" applyFont="1" applyFill="1" applyBorder="1" applyAlignment="1">
      <alignment horizontal="center" vertical="center" wrapText="1"/>
    </xf>
    <xf numFmtId="0" fontId="11" fillId="0" borderId="25" xfId="0" applyFont="1" applyBorder="1" applyAlignment="1">
      <alignment horizontal="left" vertical="center" wrapText="1"/>
    </xf>
    <xf numFmtId="0" fontId="11" fillId="0" borderId="25" xfId="10" applyFont="1" applyFill="1" applyBorder="1" applyAlignment="1" applyProtection="1">
      <alignment horizontal="left" vertical="center" wrapText="1"/>
    </xf>
    <xf numFmtId="0" fontId="1" fillId="4" borderId="3" xfId="0" applyFont="1" applyFill="1" applyBorder="1" applyAlignment="1">
      <alignment horizontal="center" vertical="center"/>
    </xf>
    <xf numFmtId="0" fontId="19" fillId="6" borderId="20" xfId="0" applyFont="1" applyFill="1" applyBorder="1" applyAlignment="1">
      <alignment horizontal="center" vertical="center"/>
    </xf>
    <xf numFmtId="0" fontId="19" fillId="6" borderId="21" xfId="0" applyFont="1" applyFill="1" applyBorder="1" applyAlignment="1">
      <alignment horizontal="center" vertical="center"/>
    </xf>
    <xf numFmtId="0" fontId="19" fillId="6" borderId="22" xfId="0" applyFont="1" applyFill="1" applyBorder="1" applyAlignment="1">
      <alignment horizontal="center" vertical="center"/>
    </xf>
    <xf numFmtId="0" fontId="24" fillId="5" borderId="3" xfId="0" applyFont="1" applyFill="1" applyBorder="1" applyAlignment="1">
      <alignment horizontal="center" vertical="center"/>
    </xf>
    <xf numFmtId="0" fontId="21" fillId="5" borderId="3" xfId="0" applyFont="1" applyFill="1" applyBorder="1" applyAlignment="1">
      <alignment horizontal="center" vertical="center"/>
    </xf>
    <xf numFmtId="0" fontId="6" fillId="5" borderId="3" xfId="0" applyFont="1" applyFill="1" applyBorder="1" applyAlignment="1">
      <alignment horizontal="center" vertical="center" wrapText="1"/>
    </xf>
    <xf numFmtId="0" fontId="33" fillId="0" borderId="0" xfId="0" applyFont="1" applyAlignment="1">
      <alignment horizontal="left" vertical="center" wrapText="1"/>
    </xf>
    <xf numFmtId="0" fontId="33" fillId="0" borderId="0" xfId="0" applyFont="1" applyAlignment="1">
      <alignment horizontal="left" vertical="center"/>
    </xf>
    <xf numFmtId="0" fontId="34" fillId="6" borderId="17" xfId="0" applyFont="1" applyFill="1" applyBorder="1" applyAlignment="1">
      <alignment horizontal="right" vertical="center" wrapText="1"/>
    </xf>
    <xf numFmtId="0" fontId="21" fillId="8" borderId="13" xfId="12" applyFont="1" applyFill="1" applyBorder="1" applyAlignment="1">
      <alignment horizontal="center" vertical="center" wrapText="1"/>
    </xf>
    <xf numFmtId="0" fontId="21" fillId="8" borderId="6" xfId="12" applyFont="1" applyFill="1" applyBorder="1" applyAlignment="1">
      <alignment horizontal="center" vertical="center" wrapText="1"/>
    </xf>
    <xf numFmtId="0" fontId="20" fillId="8" borderId="13" xfId="12" applyFont="1" applyFill="1" applyBorder="1" applyAlignment="1">
      <alignment horizontal="center" vertical="center" wrapText="1"/>
    </xf>
    <xf numFmtId="0" fontId="20" fillId="8" borderId="6" xfId="12" applyFont="1" applyFill="1" applyBorder="1" applyAlignment="1">
      <alignment horizontal="center" vertical="center" wrapText="1"/>
    </xf>
    <xf numFmtId="0" fontId="21" fillId="8" borderId="14" xfId="0" applyFont="1" applyFill="1" applyBorder="1" applyAlignment="1">
      <alignment horizontal="right" vertical="center" wrapText="1" readingOrder="1"/>
    </xf>
    <xf numFmtId="0" fontId="21" fillId="8" borderId="15" xfId="0" applyFont="1" applyFill="1" applyBorder="1" applyAlignment="1">
      <alignment horizontal="right" vertical="center" wrapText="1" readingOrder="1"/>
    </xf>
    <xf numFmtId="9" fontId="36" fillId="6" borderId="17" xfId="0" applyNumberFormat="1" applyFont="1" applyFill="1" applyBorder="1" applyAlignment="1">
      <alignment horizontal="center" vertical="center"/>
    </xf>
    <xf numFmtId="9" fontId="36" fillId="6" borderId="18" xfId="0" applyNumberFormat="1" applyFont="1" applyFill="1" applyBorder="1" applyAlignment="1">
      <alignment horizontal="center" vertical="center"/>
    </xf>
    <xf numFmtId="0" fontId="34" fillId="6" borderId="7" xfId="0" applyFont="1" applyFill="1" applyBorder="1" applyAlignment="1">
      <alignment horizontal="center" vertical="center" wrapText="1"/>
    </xf>
    <xf numFmtId="0" fontId="34" fillId="6" borderId="8" xfId="0" applyFont="1" applyFill="1" applyBorder="1" applyAlignment="1">
      <alignment horizontal="center" vertical="center" wrapText="1"/>
    </xf>
  </cellXfs>
  <cellStyles count="27">
    <cellStyle name="Excel Built-in Accent6" xfId="13" xr:uid="{00000000-0005-0000-0000-000000000000}"/>
    <cellStyle name="Excel Built-in Normal" xfId="12" xr:uid="{00000000-0005-0000-0000-000001000000}"/>
    <cellStyle name="Excel Built-in Normal 1" xfId="14" xr:uid="{00000000-0005-0000-0000-000002000000}"/>
    <cellStyle name="Excel Built-in Normal 1 1" xfId="15" xr:uid="{00000000-0005-0000-0000-000003000000}"/>
    <cellStyle name="Excel Built-in Normal 2" xfId="16" xr:uid="{00000000-0005-0000-0000-000004000000}"/>
    <cellStyle name="Followed Hyperlink" xfId="5" builtinId="9" hidden="1"/>
    <cellStyle name="Followed Hyperlink" xfId="3" builtinId="9" hidden="1"/>
    <cellStyle name="Followed Hyperlink" xfId="9" builtinId="9" hidden="1"/>
    <cellStyle name="Followed Hyperlink" xfId="7" builtinId="9" hidden="1"/>
    <cellStyle name="Hyperlink" xfId="2" builtinId="8" hidden="1"/>
    <cellStyle name="Hyperlink" xfId="4" builtinId="8" hidden="1"/>
    <cellStyle name="Hyperlink" xfId="6" builtinId="8" hidden="1"/>
    <cellStyle name="Hyperlink" xfId="8" builtinId="8" hidden="1"/>
    <cellStyle name="Hyperlink" xfId="10" builtinId="8"/>
    <cellStyle name="Hyperlink 2" xfId="20" xr:uid="{00000000-0005-0000-0000-00000E000000}"/>
    <cellStyle name="Normal" xfId="0" builtinId="0"/>
    <cellStyle name="Normal 2" xfId="1" xr:uid="{00000000-0005-0000-0000-000010000000}"/>
    <cellStyle name="Normal 3" xfId="17" xr:uid="{00000000-0005-0000-0000-000011000000}"/>
    <cellStyle name="Normal 4" xfId="21" xr:uid="{00000000-0005-0000-0000-000012000000}"/>
    <cellStyle name="Normal 5" xfId="19" xr:uid="{00000000-0005-0000-0000-000013000000}"/>
    <cellStyle name="Normal 6" xfId="22" xr:uid="{00000000-0005-0000-0000-000014000000}"/>
    <cellStyle name="Note 2" xfId="18" xr:uid="{00000000-0005-0000-0000-000015000000}"/>
    <cellStyle name="Percent" xfId="11" builtinId="5"/>
    <cellStyle name="Percent 2" xfId="23" xr:uid="{00000000-0005-0000-0000-000017000000}"/>
    <cellStyle name="Percent 3" xfId="24" xr:uid="{00000000-0005-0000-0000-000018000000}"/>
    <cellStyle name="Percent 4" xfId="25" xr:uid="{00000000-0005-0000-0000-000019000000}"/>
    <cellStyle name="Percent 5" xfId="26" xr:uid="{00000000-0005-0000-0000-00001A000000}"/>
  </cellStyles>
  <dxfs count="10"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ont>
        <color rgb="FFFF0000"/>
      </font>
      <fill>
        <patternFill>
          <bgColor rgb="FFFF0000"/>
        </patternFill>
      </fill>
    </dxf>
    <dxf>
      <font>
        <color rgb="FF92D050"/>
      </font>
      <fill>
        <patternFill>
          <bgColor rgb="FF92D050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DD0806"/>
      <rgbColor rgb="001FB714"/>
      <rgbColor rgb="000000D4"/>
      <rgbColor rgb="00FCF305"/>
      <rgbColor rgb="00F20884"/>
      <rgbColor rgb="0000ABEA"/>
      <rgbColor rgb="00900000"/>
      <rgbColor rgb="00006411"/>
      <rgbColor rgb="00000090"/>
      <rgbColor rgb="0090713A"/>
      <rgbColor rgb="004600A5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004B87"/>
      <color rgb="FFFBFDA3"/>
      <color rgb="FFF1F6AA"/>
      <color rgb="FF004B0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2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1.xml"/><Relationship Id="rId12" Type="http://schemas.openxmlformats.org/officeDocument/2006/relationships/styles" Target="styles.xml"/><Relationship Id="rId17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1.xml"/><Relationship Id="rId10" Type="http://schemas.openxmlformats.org/officeDocument/2006/relationships/externalLink" Target="externalLinks/externalLink4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3.xml"/><Relationship Id="rId14" Type="http://schemas.openxmlformats.org/officeDocument/2006/relationships/calcChain" Target="calcChain.xml"/></Relationships>
</file>

<file path=xl/charts/_rels/chart5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3.xml"/><Relationship Id="rId2" Type="http://schemas.openxmlformats.org/officeDocument/2006/relationships/image" Target="../media/image2.jpg"/><Relationship Id="rId1" Type="http://schemas.openxmlformats.org/officeDocument/2006/relationships/image" Target="../media/image1.png"/></Relationships>
</file>

<file path=xl/charts/_rels/chart6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5.xml"/><Relationship Id="rId2" Type="http://schemas.openxmlformats.org/officeDocument/2006/relationships/image" Target="../media/image2.jpg"/><Relationship Id="rId1" Type="http://schemas.openxmlformats.org/officeDocument/2006/relationships/image" Target="../media/image1.png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view3D>
      <c:rotX val="30"/>
      <c:rotY val="0"/>
      <c:rAngAx val="0"/>
    </c:view3D>
    <c:floor>
      <c:thickness val="0"/>
    </c:floor>
    <c:sideWall>
      <c:thickness val="0"/>
    </c:sideWall>
    <c:backWall>
      <c:thickness val="0"/>
    </c:backWall>
    <c:plotArea>
      <c:layout/>
      <c:pie3DChart>
        <c:varyColors val="1"/>
        <c:ser>
          <c:idx val="0"/>
          <c:order val="0"/>
          <c:dLbls>
            <c:dLbl>
              <c:idx val="0"/>
              <c:layout>
                <c:manualLayout>
                  <c:x val="-1.9912729658792549E-2"/>
                  <c:y val="-8.3888424931732014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47D1-478B-B0F5-ABCD1FE811B1}"/>
                </c:ext>
              </c:extLst>
            </c:dLbl>
            <c:dLbl>
              <c:idx val="1"/>
              <c:layout>
                <c:manualLayout>
                  <c:x val="-0.12228696412948381"/>
                  <c:y val="2.683143773694955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47D1-478B-B0F5-ABCD1FE811B1}"/>
                </c:ext>
              </c:extLst>
            </c:dLbl>
            <c:dLbl>
              <c:idx val="2"/>
              <c:layout>
                <c:manualLayout>
                  <c:x val="5.4715660542432199E-3"/>
                  <c:y val="-2.391622922134733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47D1-478B-B0F5-ABCD1FE811B1}"/>
                </c:ext>
              </c:extLst>
            </c:dLbl>
            <c:dLbl>
              <c:idx val="3"/>
              <c:layout>
                <c:manualLayout>
                  <c:x val="0.1719919072615923"/>
                  <c:y val="-1.524430658288926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47D1-478B-B0F5-ABCD1FE811B1}"/>
                </c:ext>
              </c:extLst>
            </c:dLbl>
            <c:spPr>
              <a:noFill/>
              <a:ln>
                <a:noFill/>
              </a:ln>
              <a:effectLst/>
            </c:spPr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Summary!$C$4:$F$4</c:f>
              <c:strCache>
                <c:ptCount val="4"/>
                <c:pt idx="0">
                  <c:v>Open</c:v>
                </c:pt>
                <c:pt idx="1">
                  <c:v>Pending</c:v>
                </c:pt>
                <c:pt idx="2">
                  <c:v>Closed</c:v>
                </c:pt>
                <c:pt idx="3">
                  <c:v>Rejected</c:v>
                </c:pt>
              </c:strCache>
            </c:strRef>
          </c:cat>
          <c:val>
            <c:numRef>
              <c:f>Summary!$C$5:$F$5</c:f>
              <c:numCache>
                <c:formatCode>General</c:formatCode>
                <c:ptCount val="4"/>
                <c:pt idx="0">
                  <c:v>11</c:v>
                </c:pt>
                <c:pt idx="1">
                  <c:v>0</c:v>
                </c:pt>
                <c:pt idx="2">
                  <c:v>2</c:v>
                </c:pt>
                <c:pt idx="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47D1-478B-B0F5-ABCD1FE811B1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  <c:showLeaderLines val="1"/>
        </c:dLbls>
      </c:pie3DChart>
    </c:plotArea>
    <c:legend>
      <c:legendPos val="b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view3D>
      <c:rotX val="30"/>
      <c:rotY val="0"/>
      <c:rAngAx val="0"/>
    </c:view3D>
    <c:floor>
      <c:thickness val="0"/>
    </c:floor>
    <c:sideWall>
      <c:thickness val="0"/>
    </c:sideWall>
    <c:backWall>
      <c:thickness val="0"/>
    </c:backWall>
    <c:plotArea>
      <c:layout/>
      <c:pie3DChart>
        <c:varyColors val="1"/>
        <c:ser>
          <c:idx val="0"/>
          <c:order val="0"/>
          <c:dPt>
            <c:idx val="0"/>
            <c:bubble3D val="0"/>
            <c:spPr>
              <a:solidFill>
                <a:srgbClr val="FF0000"/>
              </a:solidFill>
            </c:spPr>
            <c:extLst>
              <c:ext xmlns:c16="http://schemas.microsoft.com/office/drawing/2014/chart" uri="{C3380CC4-5D6E-409C-BE32-E72D297353CC}">
                <c16:uniqueId val="{00000001-4D89-4994-A887-FACC1181D04E}"/>
              </c:ext>
            </c:extLst>
          </c:dPt>
          <c:dLbls>
            <c:dLbl>
              <c:idx val="0"/>
              <c:layout>
                <c:manualLayout>
                  <c:x val="0.18124901574803148"/>
                  <c:y val="5.5836249635462234E-3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4D89-4994-A887-FACC1181D04E}"/>
                </c:ext>
              </c:extLst>
            </c:dLbl>
            <c:dLbl>
              <c:idx val="3"/>
              <c:layout>
                <c:manualLayout>
                  <c:x val="-7.6981846019247596E-2"/>
                  <c:y val="-1.6309419655876349E-3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4D89-4994-A887-FACC1181D04E}"/>
                </c:ext>
              </c:extLst>
            </c:dLbl>
            <c:spPr>
              <a:noFill/>
              <a:ln>
                <a:noFill/>
              </a:ln>
              <a:effectLst/>
            </c:spPr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Summary!$C$28:$F$28</c:f>
              <c:strCache>
                <c:ptCount val="4"/>
                <c:pt idx="0">
                  <c:v>Critical</c:v>
                </c:pt>
                <c:pt idx="1">
                  <c:v>High</c:v>
                </c:pt>
                <c:pt idx="2">
                  <c:v>Medium</c:v>
                </c:pt>
                <c:pt idx="3">
                  <c:v>Low</c:v>
                </c:pt>
              </c:strCache>
            </c:strRef>
          </c:cat>
          <c:val>
            <c:numRef>
              <c:f>Summary!$C$29:$F$29</c:f>
              <c:numCache>
                <c:formatCode>General</c:formatCode>
                <c:ptCount val="4"/>
                <c:pt idx="0">
                  <c:v>1</c:v>
                </c:pt>
                <c:pt idx="1">
                  <c:v>5</c:v>
                </c:pt>
                <c:pt idx="2">
                  <c:v>5</c:v>
                </c:pt>
                <c:pt idx="3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4D89-4994-A887-FACC1181D04E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  <c:showLeaderLines val="1"/>
        </c:dLbls>
      </c:pie3DChart>
    </c:plotArea>
    <c:legend>
      <c:legendPos val="b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view3D>
      <c:rotX val="30"/>
      <c:rotY val="80"/>
      <c:rAngAx val="0"/>
    </c:view3D>
    <c:floor>
      <c:thickness val="0"/>
    </c:floor>
    <c:sideWall>
      <c:thickness val="0"/>
    </c:sideWall>
    <c:backWall>
      <c:thickness val="0"/>
    </c:backWall>
    <c:plotArea>
      <c:layout>
        <c:manualLayout>
          <c:layoutTarget val="inner"/>
          <c:xMode val="edge"/>
          <c:yMode val="edge"/>
          <c:x val="4.265873015873016E-2"/>
          <c:y val="0.11524890638670167"/>
          <c:w val="0.78769841269841268"/>
          <c:h val="0.63570822397200355"/>
        </c:manualLayout>
      </c:layout>
      <c:pie3DChart>
        <c:varyColors val="1"/>
        <c:ser>
          <c:idx val="0"/>
          <c:order val="0"/>
          <c:dLbls>
            <c:dLbl>
              <c:idx val="0"/>
              <c:layout>
                <c:manualLayout>
                  <c:x val="7.3550962379702531E-2"/>
                  <c:y val="1.7725151780269892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BB4D-4669-8521-28AB73B40391}"/>
                </c:ext>
              </c:extLst>
            </c:dLbl>
            <c:dLbl>
              <c:idx val="2"/>
              <c:layout>
                <c:manualLayout>
                  <c:x val="4.8511748531433571E-2"/>
                  <c:y val="-7.8722659667541557E-3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BB4D-4669-8521-28AB73B40391}"/>
                </c:ext>
              </c:extLst>
            </c:dLbl>
            <c:dLbl>
              <c:idx val="3"/>
              <c:layout>
                <c:manualLayout>
                  <c:x val="5.4761264216972881E-2"/>
                  <c:y val="9.7646411622789569E-3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BB4D-4669-8521-28AB73B40391}"/>
                </c:ext>
              </c:extLst>
            </c:dLbl>
            <c:spPr>
              <a:noFill/>
              <a:ln>
                <a:noFill/>
              </a:ln>
              <a:effectLst/>
            </c:spPr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Summary!$K$4:$N$4</c:f>
              <c:strCache>
                <c:ptCount val="4"/>
                <c:pt idx="0">
                  <c:v>Clarity</c:v>
                </c:pt>
                <c:pt idx="1">
                  <c:v>Completeness</c:v>
                </c:pt>
                <c:pt idx="2">
                  <c:v>Consistency</c:v>
                </c:pt>
                <c:pt idx="3">
                  <c:v>Testability</c:v>
                </c:pt>
              </c:strCache>
            </c:strRef>
          </c:cat>
          <c:val>
            <c:numRef>
              <c:f>Summary!$K$5:$N$5</c:f>
              <c:numCache>
                <c:formatCode>General</c:formatCode>
                <c:ptCount val="4"/>
                <c:pt idx="0">
                  <c:v>5</c:v>
                </c:pt>
                <c:pt idx="1">
                  <c:v>4</c:v>
                </c:pt>
                <c:pt idx="2">
                  <c:v>1</c:v>
                </c:pt>
                <c:pt idx="3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BB4D-4669-8521-28AB73B40391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  <c:showLeaderLines val="1"/>
        </c:dLbls>
      </c:pie3DChart>
    </c:plotArea>
    <c:legend>
      <c:legendPos val="b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view3D>
      <c:rotX val="30"/>
      <c:rotY val="80"/>
      <c:rAngAx val="0"/>
    </c:view3D>
    <c:floor>
      <c:thickness val="0"/>
    </c:floor>
    <c:sideWall>
      <c:thickness val="0"/>
    </c:sideWall>
    <c:backWall>
      <c:thickness val="0"/>
    </c:backWall>
    <c:plotArea>
      <c:layout>
        <c:manualLayout>
          <c:layoutTarget val="inner"/>
          <c:xMode val="edge"/>
          <c:yMode val="edge"/>
          <c:x val="3.4722222222222224E-2"/>
          <c:y val="0.10651660966621597"/>
          <c:w val="0.81388888888888888"/>
          <c:h val="0.63264932792491846"/>
        </c:manualLayout>
      </c:layout>
      <c:pie3DChart>
        <c:varyColors val="1"/>
        <c:ser>
          <c:idx val="0"/>
          <c:order val="0"/>
          <c:dPt>
            <c:idx val="1"/>
            <c:bubble3D val="0"/>
            <c:spPr>
              <a:solidFill>
                <a:srgbClr val="00B050"/>
              </a:solidFill>
            </c:spPr>
            <c:extLst>
              <c:ext xmlns:c16="http://schemas.microsoft.com/office/drawing/2014/chart" uri="{C3380CC4-5D6E-409C-BE32-E72D297353CC}">
                <c16:uniqueId val="{00000001-8B99-41CE-A9B2-D1541E712139}"/>
              </c:ext>
            </c:extLst>
          </c:dPt>
          <c:dLbls>
            <c:dLbl>
              <c:idx val="0"/>
              <c:layout>
                <c:manualLayout>
                  <c:x val="8.9221347331584575E-3"/>
                  <c:y val="8.9758808558021125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8B99-41CE-A9B2-D1541E712139}"/>
                </c:ext>
              </c:extLst>
            </c:dLbl>
            <c:dLbl>
              <c:idx val="2"/>
              <c:layout>
                <c:manualLayout>
                  <c:x val="-9.6694225721784779E-2"/>
                  <c:y val="0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8B99-41CE-A9B2-D1541E712139}"/>
                </c:ext>
              </c:extLst>
            </c:dLbl>
            <c:dLbl>
              <c:idx val="3"/>
              <c:layout>
                <c:manualLayout>
                  <c:x val="3.4129265091863516E-2"/>
                  <c:y val="-7.3179630955221509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8B99-41CE-A9B2-D1541E712139}"/>
                </c:ext>
              </c:extLst>
            </c:dLbl>
            <c:dLbl>
              <c:idx val="4"/>
              <c:layout>
                <c:manualLayout>
                  <c:x val="3.6475065616797898E-2"/>
                  <c:y val="1.8763753015721519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8B99-41CE-A9B2-D1541E712139}"/>
                </c:ext>
              </c:extLst>
            </c:dLbl>
            <c:dLbl>
              <c:idx val="5"/>
              <c:layout>
                <c:manualLayout>
                  <c:x val="3.4514654418197725E-2"/>
                  <c:y val="2.8142315543890347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8B99-41CE-A9B2-D1541E712139}"/>
                </c:ext>
              </c:extLst>
            </c:dLbl>
            <c:spPr>
              <a:noFill/>
              <a:ln>
                <a:noFill/>
              </a:ln>
              <a:effectLst/>
            </c:spPr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(Summary!$I$28,Summary!$K$28,Summary!$L$28,Summary!$M$28,Summary!$N$28)</c:f>
              <c:strCache>
                <c:ptCount val="5"/>
                <c:pt idx="0">
                  <c:v>Business Logic</c:v>
                </c:pt>
                <c:pt idx="1">
                  <c:v>Functional</c:v>
                </c:pt>
                <c:pt idx="2">
                  <c:v>Validation Rules</c:v>
                </c:pt>
                <c:pt idx="3">
                  <c:v>Non-Functional</c:v>
                </c:pt>
                <c:pt idx="4">
                  <c:v>Dependency</c:v>
                </c:pt>
              </c:strCache>
            </c:strRef>
          </c:cat>
          <c:val>
            <c:numRef>
              <c:f>(Summary!$I$29,Summary!$K$29,Summary!$L$29,Summary!$M$29,Summary!$N$29)</c:f>
              <c:numCache>
                <c:formatCode>General</c:formatCode>
                <c:ptCount val="5"/>
                <c:pt idx="0">
                  <c:v>3</c:v>
                </c:pt>
                <c:pt idx="1">
                  <c:v>5</c:v>
                </c:pt>
                <c:pt idx="2">
                  <c:v>3</c:v>
                </c:pt>
                <c:pt idx="3">
                  <c:v>1</c:v>
                </c:pt>
                <c:pt idx="4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8B99-41CE-A9B2-D1541E712139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  <c:showLeaderLines val="1"/>
        </c:dLbls>
      </c:pie3DChart>
    </c:plotArea>
    <c:legend>
      <c:legendPos val="b"/>
      <c:layout>
        <c:manualLayout>
          <c:xMode val="edge"/>
          <c:yMode val="edge"/>
          <c:x val="0.15117410323709538"/>
          <c:y val="0.82884753042233361"/>
          <c:w val="0.75598512685914254"/>
          <c:h val="0.14589994432514117"/>
        </c:manualLayout>
      </c:layout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8105004339610931"/>
          <c:y val="0.14281865422785042"/>
          <c:w val="0.63287909019777022"/>
          <c:h val="0.85718134577214955"/>
        </c:manualLayout>
      </c:layout>
      <c:doughnutChart>
        <c:varyColors val="1"/>
        <c:ser>
          <c:idx val="0"/>
          <c:order val="0"/>
          <c:tx>
            <c:strRef>
              <c:f>Gauge_Prasad!$G$18</c:f>
              <c:strCache>
                <c:ptCount val="1"/>
                <c:pt idx="0">
                  <c:v>Donut</c:v>
                </c:pt>
              </c:strCache>
            </c:strRef>
          </c:tx>
          <c:spPr>
            <a:solidFill>
              <a:srgbClr val="9999FF"/>
            </a:solidFill>
            <a:ln w="12700">
              <a:solidFill>
                <a:srgbClr val="000000"/>
              </a:solidFill>
              <a:prstDash val="solid"/>
            </a:ln>
          </c:spPr>
          <c:dPt>
            <c:idx val="0"/>
            <c:bubble3D val="0"/>
            <c:spPr>
              <a:solidFill>
                <a:srgbClr val="92D050"/>
              </a:solidFill>
              <a:ln w="12700">
                <a:noFill/>
                <a:prstDash val="solid"/>
              </a:ln>
              <a:scene3d>
                <a:camera prst="orthographicFront"/>
                <a:lightRig rig="threePt" dir="t"/>
              </a:scene3d>
            </c:spPr>
            <c:extLst>
              <c:ext xmlns:c16="http://schemas.microsoft.com/office/drawing/2014/chart" uri="{C3380CC4-5D6E-409C-BE32-E72D297353CC}">
                <c16:uniqueId val="{00000001-4BE4-49A8-BE30-B3C8A7F8D258}"/>
              </c:ext>
            </c:extLst>
          </c:dPt>
          <c:dPt>
            <c:idx val="1"/>
            <c:bubble3D val="0"/>
            <c:spPr>
              <a:solidFill>
                <a:srgbClr val="FFFF00"/>
              </a:solidFill>
              <a:ln w="12700">
                <a:noFill/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4BE4-49A8-BE30-B3C8A7F8D258}"/>
              </c:ext>
            </c:extLst>
          </c:dPt>
          <c:dPt>
            <c:idx val="2"/>
            <c:bubble3D val="0"/>
            <c:spPr>
              <a:solidFill>
                <a:srgbClr val="FFC000"/>
              </a:solidFill>
              <a:ln w="12700">
                <a:noFill/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5-4BE4-49A8-BE30-B3C8A7F8D258}"/>
              </c:ext>
            </c:extLst>
          </c:dPt>
          <c:dPt>
            <c:idx val="3"/>
            <c:bubble3D val="0"/>
            <c:spPr>
              <a:solidFill>
                <a:srgbClr val="FF0000"/>
              </a:solidFill>
              <a:ln w="25400">
                <a:noFill/>
              </a:ln>
            </c:spPr>
            <c:extLst>
              <c:ext xmlns:c16="http://schemas.microsoft.com/office/drawing/2014/chart" uri="{C3380CC4-5D6E-409C-BE32-E72D297353CC}">
                <c16:uniqueId val="{00000007-4BE4-49A8-BE30-B3C8A7F8D258}"/>
              </c:ext>
            </c:extLst>
          </c:dPt>
          <c:dPt>
            <c:idx val="4"/>
            <c:bubble3D val="0"/>
            <c:spPr>
              <a:noFill/>
              <a:ln w="12700">
                <a:noFill/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9-4BE4-49A8-BE30-B3C8A7F8D258}"/>
              </c:ext>
            </c:extLst>
          </c:dPt>
          <c:cat>
            <c:strRef>
              <c:f>RAI!$B$2</c:f>
              <c:strCache>
                <c:ptCount val="1"/>
                <c:pt idx="0">
                  <c:v>Requirement Ambiguity Index (RAI)</c:v>
                </c:pt>
              </c:strCache>
            </c:strRef>
          </c:cat>
          <c:val>
            <c:numRef>
              <c:f>Gauge_Prasad!$G$19:$G$23</c:f>
              <c:numCache>
                <c:formatCode>General</c:formatCode>
                <c:ptCount val="5"/>
                <c:pt idx="0">
                  <c:v>5</c:v>
                </c:pt>
                <c:pt idx="1">
                  <c:v>10</c:v>
                </c:pt>
                <c:pt idx="2">
                  <c:v>10</c:v>
                </c:pt>
                <c:pt idx="3">
                  <c:v>25</c:v>
                </c:pt>
                <c:pt idx="4">
                  <c:v>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4BE4-49A8-BE30-B3C8A7F8D25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270"/>
        <c:holeSize val="90"/>
      </c:doughnutChart>
      <c:scatterChart>
        <c:scatterStyle val="lineMarker"/>
        <c:varyColors val="0"/>
        <c:ser>
          <c:idx val="1"/>
          <c:order val="1"/>
          <c:tx>
            <c:v>Needle</c:v>
          </c:tx>
          <c:spPr>
            <a:ln w="38100">
              <a:solidFill>
                <a:srgbClr val="0000FF"/>
              </a:solidFill>
              <a:prstDash val="solid"/>
            </a:ln>
          </c:spPr>
          <c:marker>
            <c:symbol val="diamond"/>
            <c:size val="5"/>
            <c:spPr>
              <a:solidFill>
                <a:srgbClr val="FF0000"/>
              </a:solidFill>
              <a:ln>
                <a:solidFill>
                  <a:srgbClr val="FF0000"/>
                </a:solidFill>
                <a:prstDash val="solid"/>
              </a:ln>
            </c:spPr>
          </c:marker>
          <c:dPt>
            <c:idx val="0"/>
            <c:marker>
              <c:symbol val="circle"/>
              <c:size val="35"/>
              <c:spPr>
                <a:blipFill dpi="0" rotWithShape="1">
                  <a:blip xmlns:r="http://schemas.openxmlformats.org/officeDocument/2006/relationships" r:embed="rId1"/>
                  <a:srcRect/>
                  <a:stretch>
                    <a:fillRect/>
                  </a:stretch>
                </a:blipFill>
                <a:ln>
                  <a:solidFill>
                    <a:srgbClr val="000000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B-4BE4-49A8-BE30-B3C8A7F8D258}"/>
              </c:ext>
            </c:extLst>
          </c:dPt>
          <c:dPt>
            <c:idx val="1"/>
            <c:marker>
              <c:symbol val="none"/>
            </c:marker>
            <c:bubble3D val="0"/>
            <c:spPr>
              <a:ln w="50800" cap="rnd">
                <a:solidFill>
                  <a:schemeClr val="tx1"/>
                </a:solidFill>
                <a:round/>
                <a:headEnd type="none" w="med" len="med"/>
                <a:tailEnd type="none" w="med" len="med"/>
              </a:ln>
            </c:spPr>
            <c:extLst>
              <c:ext xmlns:c16="http://schemas.microsoft.com/office/drawing/2014/chart" uri="{C3380CC4-5D6E-409C-BE32-E72D297353CC}">
                <c16:uniqueId val="{0000000D-4BE4-49A8-BE30-B3C8A7F8D258}"/>
              </c:ext>
            </c:extLst>
          </c:dPt>
          <c:xVal>
            <c:numRef>
              <c:f>Gauge_Prasad!$M$19:$M$20</c:f>
              <c:numCache>
                <c:formatCode>0.00</c:formatCode>
                <c:ptCount val="2"/>
                <c:pt idx="0">
                  <c:v>0</c:v>
                </c:pt>
                <c:pt idx="1">
                  <c:v>-0.43180330612803935</c:v>
                </c:pt>
              </c:numCache>
            </c:numRef>
          </c:xVal>
          <c:yVal>
            <c:numRef>
              <c:f>Gauge_Prasad!$N$19:$N$20</c:f>
              <c:numCache>
                <c:formatCode>General</c:formatCode>
                <c:ptCount val="2"/>
                <c:pt idx="0">
                  <c:v>0</c:v>
                </c:pt>
                <c:pt idx="1">
                  <c:v>0.83495263627159988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E-4BE4-49A8-BE30-B3C8A7F8D258}"/>
            </c:ext>
          </c:extLst>
        </c:ser>
        <c:ser>
          <c:idx val="2"/>
          <c:order val="2"/>
          <c:tx>
            <c:v>Label</c:v>
          </c:tx>
          <c:spPr>
            <a:ln w="28575">
              <a:noFill/>
            </a:ln>
          </c:spPr>
          <c:marker>
            <c:symbol val="none"/>
          </c:marker>
          <c:dLbls>
            <c:dLbl>
              <c:idx val="0"/>
              <c:layout>
                <c:manualLayout>
                  <c:x val="-5.906478340484142E-2"/>
                  <c:y val="-1.9047599616844556E-2"/>
                </c:manualLayout>
              </c:layout>
              <c:tx>
                <c:strRef>
                  <c:f>Gauge_Prasad!$P$19</c:f>
                  <c:strCache>
                    <c:ptCount val="1"/>
                    <c:pt idx="0">
                      <c:v>0</c:v>
                    </c:pt>
                  </c:strCache>
                </c:strRef>
              </c:tx>
              <c:spPr>
                <a:noFill/>
                <a:ln w="25400" cap="rnd">
                  <a:noFill/>
                </a:ln>
              </c:spPr>
              <c:txPr>
                <a:bodyPr/>
                <a:lstStyle/>
                <a:p>
                  <a:pPr>
                    <a:defRPr sz="1000" b="1" i="0" u="none" strike="noStrike" baseline="0">
                      <a:solidFill>
                        <a:sysClr val="windowText" lastClr="000000"/>
                      </a:solidFill>
                      <a:effectLst>
                        <a:outerShdw blurRad="876300" dist="38100" dir="19140000" sx="1000" sy="1000" algn="tr" rotWithShape="0">
                          <a:prstClr val="black">
                            <a:alpha val="0"/>
                          </a:prstClr>
                        </a:outerShdw>
                      </a:effectLst>
                      <a:latin typeface="Arial"/>
                      <a:ea typeface="Arial"/>
                      <a:cs typeface="Arial"/>
                    </a:defRPr>
                  </a:pPr>
                  <a:endParaRPr lang="en-US"/>
                </a:p>
              </c:txPr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{2CD8CC3F-B7D4-4528-BC93-2FD1A23DD92B}</c15:txfldGUID>
                      <c15:f>Gauge_Prasad!$P$19</c15:f>
                      <c15:dlblFieldTableCache>
                        <c:ptCount val="1"/>
                        <c:pt idx="0">
                          <c:v>0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0F-4BE4-49A8-BE30-B3C8A7F8D258}"/>
                </c:ext>
              </c:extLst>
            </c:dLbl>
            <c:dLbl>
              <c:idx val="1"/>
              <c:layout>
                <c:manualLayout>
                  <c:x val="-6.9854649491575854E-2"/>
                  <c:y val="-1.6216523629449107E-2"/>
                </c:manualLayout>
              </c:layout>
              <c:tx>
                <c:strRef>
                  <c:f>Gauge_Prasad!$P$20</c:f>
                  <c:strCache>
                    <c:ptCount val="1"/>
                    <c:pt idx="0">
                      <c:v>10</c:v>
                    </c:pt>
                  </c:strCache>
                </c:strRef>
              </c:tx>
              <c:spPr>
                <a:noFill/>
                <a:ln w="25400" cap="rnd">
                  <a:noFill/>
                </a:ln>
              </c:spPr>
              <c:txPr>
                <a:bodyPr/>
                <a:lstStyle/>
                <a:p>
                  <a:pPr>
                    <a:defRPr sz="1000" b="1" i="0" u="none" strike="noStrike" baseline="0">
                      <a:solidFill>
                        <a:sysClr val="windowText" lastClr="000000"/>
                      </a:solidFill>
                      <a:effectLst>
                        <a:outerShdw blurRad="876300" dist="38100" dir="19140000" sx="1000" sy="1000" algn="tr" rotWithShape="0">
                          <a:prstClr val="black">
                            <a:alpha val="0"/>
                          </a:prstClr>
                        </a:outerShdw>
                      </a:effectLst>
                      <a:latin typeface="Arial"/>
                      <a:ea typeface="Arial"/>
                      <a:cs typeface="Arial"/>
                    </a:defRPr>
                  </a:pPr>
                  <a:endParaRPr lang="en-US"/>
                </a:p>
              </c:txPr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{CF4C6AE3-5F69-4246-ABB6-FD12A6C9749E}</c15:txfldGUID>
                      <c15:f>Gauge_Prasad!$P$20</c15:f>
                      <c15:dlblFieldTableCache>
                        <c:ptCount val="1"/>
                        <c:pt idx="0">
                          <c:v>10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10-4BE4-49A8-BE30-B3C8A7F8D258}"/>
                </c:ext>
              </c:extLst>
            </c:dLbl>
            <c:dLbl>
              <c:idx val="2"/>
              <c:layout>
                <c:manualLayout>
                  <c:x val="-7.1231178971410875E-2"/>
                  <c:y val="-1.7842077934796249E-2"/>
                </c:manualLayout>
              </c:layout>
              <c:tx>
                <c:strRef>
                  <c:f>Gauge_Prasad!$P$21</c:f>
                  <c:strCache>
                    <c:ptCount val="1"/>
                    <c:pt idx="0">
                      <c:v>20</c:v>
                    </c:pt>
                  </c:strCache>
                </c:strRef>
              </c:tx>
              <c:spPr>
                <a:noFill/>
                <a:ln w="25400" cap="rnd">
                  <a:noFill/>
                </a:ln>
              </c:spPr>
              <c:txPr>
                <a:bodyPr/>
                <a:lstStyle/>
                <a:p>
                  <a:pPr>
                    <a:defRPr sz="1000" b="1" i="0" u="none" strike="noStrike" baseline="0">
                      <a:solidFill>
                        <a:sysClr val="windowText" lastClr="000000"/>
                      </a:solidFill>
                      <a:effectLst>
                        <a:outerShdw blurRad="876300" dist="38100" dir="19140000" sx="1000" sy="1000" algn="tr" rotWithShape="0">
                          <a:prstClr val="black">
                            <a:alpha val="0"/>
                          </a:prstClr>
                        </a:outerShdw>
                      </a:effectLst>
                      <a:latin typeface="Arial"/>
                      <a:ea typeface="Arial"/>
                      <a:cs typeface="Arial"/>
                    </a:defRPr>
                  </a:pPr>
                  <a:endParaRPr lang="en-US"/>
                </a:p>
              </c:txPr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{1C87CEE4-C264-4EC0-8730-1CA2E9F71903}</c15:txfldGUID>
                      <c15:f>Gauge_Prasad!$P$21</c15:f>
                      <c15:dlblFieldTableCache>
                        <c:ptCount val="1"/>
                        <c:pt idx="0">
                          <c:v>20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11-4BE4-49A8-BE30-B3C8A7F8D258}"/>
                </c:ext>
              </c:extLst>
            </c:dLbl>
            <c:dLbl>
              <c:idx val="3"/>
              <c:layout>
                <c:manualLayout>
                  <c:x val="-7.9796778332837812E-2"/>
                  <c:y val="-3.1055126030189301E-2"/>
                </c:manualLayout>
              </c:layout>
              <c:tx>
                <c:strRef>
                  <c:f>Gauge_Prasad!$P$22</c:f>
                  <c:strCache>
                    <c:ptCount val="1"/>
                    <c:pt idx="0">
                      <c:v>30</c:v>
                    </c:pt>
                  </c:strCache>
                </c:strRef>
              </c:tx>
              <c:spPr>
                <a:noFill/>
                <a:ln w="25400" cap="rnd">
                  <a:noFill/>
                </a:ln>
              </c:spPr>
              <c:txPr>
                <a:bodyPr/>
                <a:lstStyle/>
                <a:p>
                  <a:pPr>
                    <a:defRPr sz="1000" b="1" i="0" u="none" strike="noStrike" baseline="0">
                      <a:solidFill>
                        <a:sysClr val="windowText" lastClr="000000"/>
                      </a:solidFill>
                      <a:effectLst>
                        <a:outerShdw blurRad="876300" dist="38100" dir="19140000" sx="1000" sy="1000" algn="tr" rotWithShape="0">
                          <a:prstClr val="black">
                            <a:alpha val="0"/>
                          </a:prstClr>
                        </a:outerShdw>
                      </a:effectLst>
                      <a:latin typeface="Arial"/>
                      <a:ea typeface="Arial"/>
                      <a:cs typeface="Arial"/>
                    </a:defRPr>
                  </a:pPr>
                  <a:endParaRPr lang="en-US"/>
                </a:p>
              </c:txPr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{121090D7-08CE-47A9-942C-88FB1765AF71}</c15:txfldGUID>
                      <c15:f>Gauge_Prasad!$P$22</c15:f>
                      <c15:dlblFieldTableCache>
                        <c:ptCount val="1"/>
                        <c:pt idx="0">
                          <c:v>30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12-4BE4-49A8-BE30-B3C8A7F8D258}"/>
                </c:ext>
              </c:extLst>
            </c:dLbl>
            <c:dLbl>
              <c:idx val="4"/>
              <c:layout>
                <c:manualLayout>
                  <c:x val="-7.0230515087654849E-2"/>
                  <c:y val="-4.0314715882486758E-2"/>
                </c:manualLayout>
              </c:layout>
              <c:tx>
                <c:strRef>
                  <c:f>Gauge_Prasad!$P$23</c:f>
                  <c:strCache>
                    <c:ptCount val="1"/>
                    <c:pt idx="0">
                      <c:v>40</c:v>
                    </c:pt>
                  </c:strCache>
                </c:strRef>
              </c:tx>
              <c:spPr>
                <a:noFill/>
                <a:ln w="25400" cap="rnd">
                  <a:noFill/>
                </a:ln>
              </c:spPr>
              <c:txPr>
                <a:bodyPr/>
                <a:lstStyle/>
                <a:p>
                  <a:pPr>
                    <a:defRPr sz="1000" b="1" i="0" u="none" strike="noStrike" baseline="0">
                      <a:solidFill>
                        <a:sysClr val="windowText" lastClr="000000"/>
                      </a:solidFill>
                      <a:effectLst>
                        <a:outerShdw blurRad="876300" dist="38100" dir="19140000" sx="1000" sy="1000" algn="tr" rotWithShape="0">
                          <a:prstClr val="black">
                            <a:alpha val="0"/>
                          </a:prstClr>
                        </a:outerShdw>
                      </a:effectLst>
                      <a:latin typeface="Arial"/>
                      <a:ea typeface="Arial"/>
                      <a:cs typeface="Arial"/>
                    </a:defRPr>
                  </a:pPr>
                  <a:endParaRPr lang="en-US"/>
                </a:p>
              </c:txPr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{585AB4EA-C62F-484A-9A47-4447548CD437}</c15:txfldGUID>
                      <c15:f>Gauge_Prasad!$P$23</c15:f>
                      <c15:dlblFieldTableCache>
                        <c:ptCount val="1"/>
                        <c:pt idx="0">
                          <c:v>40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13-4BE4-49A8-BE30-B3C8A7F8D258}"/>
                </c:ext>
              </c:extLst>
            </c:dLbl>
            <c:dLbl>
              <c:idx val="5"/>
              <c:layout>
                <c:manualLayout>
                  <c:x val="-4.5436477480983305E-2"/>
                  <c:y val="-5.1459224446867784E-2"/>
                </c:manualLayout>
              </c:layout>
              <c:tx>
                <c:strRef>
                  <c:f>Gauge_Prasad!$P$24</c:f>
                  <c:strCache>
                    <c:ptCount val="1"/>
                    <c:pt idx="0">
                      <c:v>50</c:v>
                    </c:pt>
                  </c:strCache>
                </c:strRef>
              </c:tx>
              <c:spPr>
                <a:noFill/>
                <a:ln w="25400" cap="rnd">
                  <a:noFill/>
                </a:ln>
              </c:spPr>
              <c:txPr>
                <a:bodyPr/>
                <a:lstStyle/>
                <a:p>
                  <a:pPr>
                    <a:defRPr sz="1000" b="1" i="0" u="none" strike="noStrike" baseline="0">
                      <a:solidFill>
                        <a:sysClr val="windowText" lastClr="000000"/>
                      </a:solidFill>
                      <a:effectLst>
                        <a:outerShdw blurRad="876300" dist="38100" dir="19140000" sx="1000" sy="1000" algn="tr" rotWithShape="0">
                          <a:prstClr val="black">
                            <a:alpha val="0"/>
                          </a:prstClr>
                        </a:outerShdw>
                      </a:effectLst>
                      <a:latin typeface="Arial"/>
                      <a:ea typeface="Arial"/>
                      <a:cs typeface="Arial"/>
                    </a:defRPr>
                  </a:pPr>
                  <a:endParaRPr lang="en-US"/>
                </a:p>
              </c:txPr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{0B3299FA-FDDC-48AB-89FA-7730C2F6DA62}</c15:txfldGUID>
                      <c15:f>Gauge_Prasad!$P$24</c15:f>
                      <c15:dlblFieldTableCache>
                        <c:ptCount val="1"/>
                        <c:pt idx="0">
                          <c:v>50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14-4BE4-49A8-BE30-B3C8A7F8D258}"/>
                </c:ext>
              </c:extLst>
            </c:dLbl>
            <c:dLbl>
              <c:idx val="6"/>
              <c:layout>
                <c:manualLayout>
                  <c:x val="-3.1441602989924489E-2"/>
                  <c:y val="-4.885359402049004E-2"/>
                </c:manualLayout>
              </c:layout>
              <c:tx>
                <c:strRef>
                  <c:f>Gauge_Prasad!$P$25</c:f>
                  <c:strCache>
                    <c:ptCount val="1"/>
                    <c:pt idx="0">
                      <c:v>60</c:v>
                    </c:pt>
                  </c:strCache>
                </c:strRef>
              </c:tx>
              <c:spPr>
                <a:noFill/>
                <a:ln w="25400" cap="rnd">
                  <a:noFill/>
                </a:ln>
              </c:spPr>
              <c:txPr>
                <a:bodyPr/>
                <a:lstStyle/>
                <a:p>
                  <a:pPr>
                    <a:defRPr sz="1000" b="1" i="0" u="none" strike="noStrike" baseline="0">
                      <a:solidFill>
                        <a:sysClr val="windowText" lastClr="000000"/>
                      </a:solidFill>
                      <a:effectLst>
                        <a:outerShdw blurRad="876300" dist="38100" dir="19140000" sx="1000" sy="1000" algn="tr" rotWithShape="0">
                          <a:prstClr val="black">
                            <a:alpha val="0"/>
                          </a:prstClr>
                        </a:outerShdw>
                      </a:effectLst>
                      <a:latin typeface="Arial"/>
                      <a:ea typeface="Arial"/>
                      <a:cs typeface="Arial"/>
                    </a:defRPr>
                  </a:pPr>
                  <a:endParaRPr lang="en-US"/>
                </a:p>
              </c:txPr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{F21DB556-72E3-4E8A-A4EA-D86FDA24D18D}</c15:txfldGUID>
                      <c15:f>Gauge_Prasad!$P$25</c15:f>
                      <c15:dlblFieldTableCache>
                        <c:ptCount val="1"/>
                        <c:pt idx="0">
                          <c:v>60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15-4BE4-49A8-BE30-B3C8A7F8D258}"/>
                </c:ext>
              </c:extLst>
            </c:dLbl>
            <c:dLbl>
              <c:idx val="7"/>
              <c:layout>
                <c:manualLayout>
                  <c:x val="-1.7405664788929732E-2"/>
                  <c:y val="-4.6214446613038543E-2"/>
                </c:manualLayout>
              </c:layout>
              <c:tx>
                <c:strRef>
                  <c:f>Gauge_Prasad!$P$26</c:f>
                  <c:strCache>
                    <c:ptCount val="1"/>
                    <c:pt idx="0">
                      <c:v>70</c:v>
                    </c:pt>
                  </c:strCache>
                </c:strRef>
              </c:tx>
              <c:spPr>
                <a:noFill/>
                <a:ln w="25400" cap="rnd">
                  <a:noFill/>
                </a:ln>
              </c:spPr>
              <c:txPr>
                <a:bodyPr/>
                <a:lstStyle/>
                <a:p>
                  <a:pPr>
                    <a:defRPr sz="1000" b="1" i="0" u="none" strike="noStrike" baseline="0">
                      <a:solidFill>
                        <a:sysClr val="windowText" lastClr="000000"/>
                      </a:solidFill>
                      <a:effectLst>
                        <a:outerShdw blurRad="876300" dist="38100" dir="19140000" sx="1000" sy="1000" algn="tr" rotWithShape="0">
                          <a:prstClr val="black">
                            <a:alpha val="0"/>
                          </a:prstClr>
                        </a:outerShdw>
                      </a:effectLst>
                      <a:latin typeface="Arial"/>
                      <a:ea typeface="Arial"/>
                      <a:cs typeface="Arial"/>
                    </a:defRPr>
                  </a:pPr>
                  <a:endParaRPr lang="en-US"/>
                </a:p>
              </c:txPr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{FB6071D6-4C60-4352-B5D4-A635A222DAAC}</c15:txfldGUID>
                      <c15:f>Gauge_Prasad!$P$26</c15:f>
                      <c15:dlblFieldTableCache>
                        <c:ptCount val="1"/>
                        <c:pt idx="0">
                          <c:v>70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16-4BE4-49A8-BE30-B3C8A7F8D258}"/>
                </c:ext>
              </c:extLst>
            </c:dLbl>
            <c:dLbl>
              <c:idx val="8"/>
              <c:layout>
                <c:manualLayout>
                  <c:x val="-1.3734557682466911E-2"/>
                  <c:y val="-3.2105080073978789E-2"/>
                </c:manualLayout>
              </c:layout>
              <c:tx>
                <c:strRef>
                  <c:f>Gauge_Prasad!$P$27</c:f>
                  <c:strCache>
                    <c:ptCount val="1"/>
                    <c:pt idx="0">
                      <c:v>80</c:v>
                    </c:pt>
                  </c:strCache>
                </c:strRef>
              </c:tx>
              <c:spPr>
                <a:noFill/>
                <a:ln w="25400" cap="rnd">
                  <a:noFill/>
                </a:ln>
              </c:spPr>
              <c:txPr>
                <a:bodyPr/>
                <a:lstStyle/>
                <a:p>
                  <a:pPr>
                    <a:defRPr sz="1000" b="1" i="0" u="none" strike="noStrike" baseline="0">
                      <a:solidFill>
                        <a:sysClr val="windowText" lastClr="000000"/>
                      </a:solidFill>
                      <a:effectLst>
                        <a:outerShdw blurRad="876300" dist="38100" dir="19140000" sx="1000" sy="1000" algn="tr" rotWithShape="0">
                          <a:prstClr val="black">
                            <a:alpha val="0"/>
                          </a:prstClr>
                        </a:outerShdw>
                      </a:effectLst>
                      <a:latin typeface="Arial"/>
                      <a:ea typeface="Arial"/>
                      <a:cs typeface="Arial"/>
                    </a:defRPr>
                  </a:pPr>
                  <a:endParaRPr lang="en-US"/>
                </a:p>
              </c:txPr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{9412022E-1E08-4A40-A1B7-D335C7B61B00}</c15:txfldGUID>
                      <c15:f>Gauge_Prasad!$P$27</c15:f>
                      <c15:dlblFieldTableCache>
                        <c:ptCount val="1"/>
                        <c:pt idx="0">
                          <c:v>80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17-4BE4-49A8-BE30-B3C8A7F8D258}"/>
                </c:ext>
              </c:extLst>
            </c:dLbl>
            <c:dLbl>
              <c:idx val="9"/>
              <c:layout>
                <c:manualLayout>
                  <c:x val="-9.7956532026082527E-3"/>
                  <c:y val="-3.5236070065624042E-2"/>
                </c:manualLayout>
              </c:layout>
              <c:tx>
                <c:strRef>
                  <c:f>Gauge_Prasad!$P$28</c:f>
                  <c:strCache>
                    <c:ptCount val="1"/>
                    <c:pt idx="0">
                      <c:v>90</c:v>
                    </c:pt>
                  </c:strCache>
                </c:strRef>
              </c:tx>
              <c:spPr>
                <a:noFill/>
                <a:ln w="25400" cap="rnd">
                  <a:noFill/>
                </a:ln>
              </c:spPr>
              <c:txPr>
                <a:bodyPr/>
                <a:lstStyle/>
                <a:p>
                  <a:pPr>
                    <a:defRPr sz="1000" b="1" i="0" u="none" strike="noStrike" baseline="0">
                      <a:solidFill>
                        <a:sysClr val="windowText" lastClr="000000"/>
                      </a:solidFill>
                      <a:effectLst>
                        <a:outerShdw blurRad="876300" dist="38100" dir="19140000" sx="1000" sy="1000" algn="tr" rotWithShape="0">
                          <a:prstClr val="black">
                            <a:alpha val="0"/>
                          </a:prstClr>
                        </a:outerShdw>
                      </a:effectLst>
                      <a:latin typeface="Arial"/>
                      <a:ea typeface="Arial"/>
                      <a:cs typeface="Arial"/>
                    </a:defRPr>
                  </a:pPr>
                  <a:endParaRPr lang="en-US"/>
                </a:p>
              </c:txPr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{88279D45-986E-4683-8E32-E43E967ABC32}</c15:txfldGUID>
                      <c15:f>Gauge_Prasad!$P$28</c15:f>
                      <c15:dlblFieldTableCache>
                        <c:ptCount val="1"/>
                        <c:pt idx="0">
                          <c:v>90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18-4BE4-49A8-BE30-B3C8A7F8D258}"/>
                </c:ext>
              </c:extLst>
            </c:dLbl>
            <c:dLbl>
              <c:idx val="10"/>
              <c:layout>
                <c:manualLayout>
                  <c:x val="-1.1588841364416779E-2"/>
                  <c:y val="-2.3149739717489168E-2"/>
                </c:manualLayout>
              </c:layout>
              <c:tx>
                <c:strRef>
                  <c:f>Gauge_Prasad!$P$29</c:f>
                  <c:strCache>
                    <c:ptCount val="1"/>
                    <c:pt idx="0">
                      <c:v>100</c:v>
                    </c:pt>
                  </c:strCache>
                </c:strRef>
              </c:tx>
              <c:spPr>
                <a:noFill/>
                <a:ln w="25400" cap="rnd">
                  <a:noFill/>
                </a:ln>
              </c:spPr>
              <c:txPr>
                <a:bodyPr/>
                <a:lstStyle/>
                <a:p>
                  <a:pPr>
                    <a:defRPr sz="1000" b="1" i="0" u="none" strike="noStrike" baseline="0">
                      <a:solidFill>
                        <a:sysClr val="windowText" lastClr="000000"/>
                      </a:solidFill>
                      <a:effectLst>
                        <a:outerShdw blurRad="876300" dist="38100" dir="19140000" sx="1000" sy="1000" algn="tr" rotWithShape="0">
                          <a:prstClr val="black">
                            <a:alpha val="0"/>
                          </a:prstClr>
                        </a:outerShdw>
                      </a:effectLst>
                      <a:latin typeface="Arial"/>
                      <a:ea typeface="Arial"/>
                      <a:cs typeface="Arial"/>
                    </a:defRPr>
                  </a:pPr>
                  <a:endParaRPr lang="en-US"/>
                </a:p>
              </c:txPr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{50535375-4950-4DDE-A9C1-254978F29055}</c15:txfldGUID>
                      <c15:f>Gauge_Prasad!$P$29</c15:f>
                      <c15:dlblFieldTableCache>
                        <c:ptCount val="1"/>
                        <c:pt idx="0">
                          <c:v>100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19-4BE4-49A8-BE30-B3C8A7F8D258}"/>
                </c:ext>
              </c:extLst>
            </c:dLbl>
            <c:spPr>
              <a:noFill/>
              <a:ln cap="rnd">
                <a:noFill/>
              </a:ln>
            </c:spPr>
            <c:txPr>
              <a:bodyPr/>
              <a:lstStyle/>
              <a:p>
                <a:pPr>
                  <a:defRPr sz="1000">
                    <a:solidFill>
                      <a:sysClr val="windowText" lastClr="000000"/>
                    </a:solidFill>
                    <a:effectLst>
                      <a:outerShdw blurRad="876300" dist="38100" dir="19140000" sx="1000" sy="1000" algn="tr" rotWithShape="0">
                        <a:prstClr val="black">
                          <a:alpha val="0"/>
                        </a:prstClr>
                      </a:outerShdw>
                    </a:effectLst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Gauge_Prasad!$Q$19:$Q$29</c:f>
              <c:numCache>
                <c:formatCode>0.00</c:formatCode>
                <c:ptCount val="11"/>
                <c:pt idx="0">
                  <c:v>-1</c:v>
                </c:pt>
                <c:pt idx="1">
                  <c:v>-0.95105651629515353</c:v>
                </c:pt>
                <c:pt idx="2">
                  <c:v>-0.80901699437494745</c:v>
                </c:pt>
                <c:pt idx="3">
                  <c:v>-0.58778525229247314</c:v>
                </c:pt>
                <c:pt idx="4">
                  <c:v>-0.30901699437494745</c:v>
                </c:pt>
                <c:pt idx="5">
                  <c:v>-6.1257422745431001E-17</c:v>
                </c:pt>
                <c:pt idx="6">
                  <c:v>0.30901699437494734</c:v>
                </c:pt>
                <c:pt idx="7">
                  <c:v>0.58778525229247303</c:v>
                </c:pt>
                <c:pt idx="8">
                  <c:v>0.80901699437494734</c:v>
                </c:pt>
                <c:pt idx="9">
                  <c:v>0.95105651629515353</c:v>
                </c:pt>
                <c:pt idx="10">
                  <c:v>1</c:v>
                </c:pt>
              </c:numCache>
            </c:numRef>
          </c:xVal>
          <c:yVal>
            <c:numRef>
              <c:f>Gauge_Prasad!$R$19:$R$29</c:f>
              <c:numCache>
                <c:formatCode>0.00</c:formatCode>
                <c:ptCount val="11"/>
                <c:pt idx="0">
                  <c:v>0</c:v>
                </c:pt>
                <c:pt idx="1">
                  <c:v>0.3090169943749474</c:v>
                </c:pt>
                <c:pt idx="2">
                  <c:v>0.58778525229247314</c:v>
                </c:pt>
                <c:pt idx="3">
                  <c:v>0.80901699437494745</c:v>
                </c:pt>
                <c:pt idx="4">
                  <c:v>0.95105651629515353</c:v>
                </c:pt>
                <c:pt idx="5">
                  <c:v>1</c:v>
                </c:pt>
                <c:pt idx="6">
                  <c:v>0.95105651629515364</c:v>
                </c:pt>
                <c:pt idx="7">
                  <c:v>0.80901699437494745</c:v>
                </c:pt>
                <c:pt idx="8">
                  <c:v>0.58778525229247325</c:v>
                </c:pt>
                <c:pt idx="9">
                  <c:v>0.30901699437494751</c:v>
                </c:pt>
                <c:pt idx="10">
                  <c:v>1.22514845490862E-16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A-4BE4-49A8-BE30-B3C8A7F8D25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67155712"/>
        <c:axId val="268028544"/>
      </c:scatterChart>
      <c:valAx>
        <c:axId val="267155712"/>
        <c:scaling>
          <c:orientation val="minMax"/>
          <c:max val="1"/>
          <c:min val="-1"/>
        </c:scaling>
        <c:delete val="0"/>
        <c:axPos val="b"/>
        <c:numFmt formatCode="0.00" sourceLinked="1"/>
        <c:majorTickMark val="none"/>
        <c:minorTickMark val="none"/>
        <c:tickLblPos val="none"/>
        <c:spPr>
          <a:ln w="9525">
            <a:noFill/>
          </a:ln>
        </c:spPr>
        <c:crossAx val="268028544"/>
        <c:crossesAt val="0"/>
        <c:crossBetween val="midCat"/>
      </c:valAx>
      <c:valAx>
        <c:axId val="268028544"/>
        <c:scaling>
          <c:orientation val="minMax"/>
          <c:max val="1"/>
          <c:min val="-1"/>
        </c:scaling>
        <c:delete val="0"/>
        <c:axPos val="l"/>
        <c:numFmt formatCode="General" sourceLinked="1"/>
        <c:majorTickMark val="none"/>
        <c:minorTickMark val="none"/>
        <c:tickLblPos val="none"/>
        <c:spPr>
          <a:ln w="9525">
            <a:noFill/>
          </a:ln>
        </c:spPr>
        <c:crossAx val="267155712"/>
        <c:crossesAt val="0"/>
        <c:crossBetween val="midCat"/>
      </c:valAx>
      <c:spPr>
        <a:noFill/>
        <a:ln w="25400">
          <a:noFill/>
        </a:ln>
      </c:spPr>
    </c:plotArea>
    <c:plotVisOnly val="1"/>
    <c:dispBlanksAs val="gap"/>
    <c:showDLblsOverMax val="0"/>
  </c:chart>
  <c:spPr>
    <a:blipFill>
      <a:blip xmlns:r="http://schemas.openxmlformats.org/officeDocument/2006/relationships" r:embed="rId2"/>
      <a:stretch>
        <a:fillRect/>
      </a:stretch>
    </a:blipFill>
    <a:ln w="3175">
      <a:noFill/>
      <a:prstDash val="solid"/>
    </a:ln>
  </c:spPr>
  <c:txPr>
    <a:bodyPr/>
    <a:lstStyle/>
    <a:p>
      <a:pPr>
        <a:defRPr sz="800" b="1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" r="0.75" t="1" header="0.5" footer="0.5"/>
    <c:pageSetup/>
  </c:printSettings>
  <c:userShapes r:id="rId3"/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8105004339610931"/>
          <c:y val="0.14281865422785042"/>
          <c:w val="0.63287909019777022"/>
          <c:h val="0.85718134577214955"/>
        </c:manualLayout>
      </c:layout>
      <c:doughnutChart>
        <c:varyColors val="1"/>
        <c:ser>
          <c:idx val="0"/>
          <c:order val="0"/>
          <c:tx>
            <c:strRef>
              <c:f>Gauge_Prasad!$G$18</c:f>
              <c:strCache>
                <c:ptCount val="1"/>
                <c:pt idx="0">
                  <c:v>Donut</c:v>
                </c:pt>
              </c:strCache>
            </c:strRef>
          </c:tx>
          <c:spPr>
            <a:solidFill>
              <a:srgbClr val="9999FF"/>
            </a:solidFill>
            <a:ln w="12700">
              <a:solidFill>
                <a:srgbClr val="000000"/>
              </a:solidFill>
              <a:prstDash val="solid"/>
            </a:ln>
          </c:spPr>
          <c:dPt>
            <c:idx val="0"/>
            <c:bubble3D val="0"/>
            <c:spPr>
              <a:solidFill>
                <a:srgbClr val="92D050"/>
              </a:solidFill>
              <a:ln w="12700">
                <a:noFill/>
                <a:prstDash val="solid"/>
              </a:ln>
              <a:scene3d>
                <a:camera prst="orthographicFront"/>
                <a:lightRig rig="threePt" dir="t"/>
              </a:scene3d>
            </c:spPr>
            <c:extLst>
              <c:ext xmlns:c16="http://schemas.microsoft.com/office/drawing/2014/chart" uri="{C3380CC4-5D6E-409C-BE32-E72D297353CC}">
                <c16:uniqueId val="{00000001-5515-407C-91D6-25EC0F8E54FA}"/>
              </c:ext>
            </c:extLst>
          </c:dPt>
          <c:dPt>
            <c:idx val="1"/>
            <c:bubble3D val="0"/>
            <c:spPr>
              <a:solidFill>
                <a:srgbClr val="FFFF00"/>
              </a:solidFill>
              <a:ln w="12700">
                <a:noFill/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5515-407C-91D6-25EC0F8E54FA}"/>
              </c:ext>
            </c:extLst>
          </c:dPt>
          <c:dPt>
            <c:idx val="2"/>
            <c:bubble3D val="0"/>
            <c:spPr>
              <a:solidFill>
                <a:srgbClr val="FFC000"/>
              </a:solidFill>
              <a:ln w="12700">
                <a:noFill/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5-5515-407C-91D6-25EC0F8E54FA}"/>
              </c:ext>
            </c:extLst>
          </c:dPt>
          <c:dPt>
            <c:idx val="3"/>
            <c:bubble3D val="0"/>
            <c:spPr>
              <a:solidFill>
                <a:srgbClr val="FF0000"/>
              </a:solidFill>
              <a:ln w="25400">
                <a:noFill/>
              </a:ln>
            </c:spPr>
            <c:extLst>
              <c:ext xmlns:c16="http://schemas.microsoft.com/office/drawing/2014/chart" uri="{C3380CC4-5D6E-409C-BE32-E72D297353CC}">
                <c16:uniqueId val="{00000007-5515-407C-91D6-25EC0F8E54FA}"/>
              </c:ext>
            </c:extLst>
          </c:dPt>
          <c:dPt>
            <c:idx val="4"/>
            <c:bubble3D val="0"/>
            <c:spPr>
              <a:noFill/>
              <a:ln w="12700">
                <a:noFill/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9-5515-407C-91D6-25EC0F8E54FA}"/>
              </c:ext>
            </c:extLst>
          </c:dPt>
          <c:val>
            <c:numRef>
              <c:f>Gauge_Prasad!$G$19:$G$23</c:f>
              <c:numCache>
                <c:formatCode>General</c:formatCode>
                <c:ptCount val="5"/>
                <c:pt idx="0">
                  <c:v>5</c:v>
                </c:pt>
                <c:pt idx="1">
                  <c:v>10</c:v>
                </c:pt>
                <c:pt idx="2">
                  <c:v>10</c:v>
                </c:pt>
                <c:pt idx="3">
                  <c:v>25</c:v>
                </c:pt>
                <c:pt idx="4">
                  <c:v>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5515-407C-91D6-25EC0F8E54F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270"/>
        <c:holeSize val="90"/>
      </c:doughnutChart>
      <c:scatterChart>
        <c:scatterStyle val="lineMarker"/>
        <c:varyColors val="0"/>
        <c:ser>
          <c:idx val="1"/>
          <c:order val="1"/>
          <c:tx>
            <c:v>Needle</c:v>
          </c:tx>
          <c:spPr>
            <a:ln w="38100">
              <a:solidFill>
                <a:srgbClr val="0000FF"/>
              </a:solidFill>
              <a:prstDash val="solid"/>
            </a:ln>
          </c:spPr>
          <c:marker>
            <c:symbol val="diamond"/>
            <c:size val="5"/>
            <c:spPr>
              <a:solidFill>
                <a:srgbClr val="FF0000"/>
              </a:solidFill>
              <a:ln>
                <a:solidFill>
                  <a:srgbClr val="FF0000"/>
                </a:solidFill>
                <a:prstDash val="solid"/>
              </a:ln>
            </c:spPr>
          </c:marker>
          <c:dPt>
            <c:idx val="0"/>
            <c:marker>
              <c:symbol val="circle"/>
              <c:size val="35"/>
              <c:spPr>
                <a:blipFill dpi="0" rotWithShape="1">
                  <a:blip xmlns:r="http://schemas.openxmlformats.org/officeDocument/2006/relationships" r:embed="rId1"/>
                  <a:srcRect/>
                  <a:stretch>
                    <a:fillRect/>
                  </a:stretch>
                </a:blipFill>
                <a:ln>
                  <a:solidFill>
                    <a:srgbClr val="000000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B-5515-407C-91D6-25EC0F8E54FA}"/>
              </c:ext>
            </c:extLst>
          </c:dPt>
          <c:dPt>
            <c:idx val="1"/>
            <c:marker>
              <c:symbol val="none"/>
            </c:marker>
            <c:bubble3D val="0"/>
            <c:spPr>
              <a:ln w="50800" cap="rnd">
                <a:solidFill>
                  <a:schemeClr val="tx1"/>
                </a:solidFill>
                <a:round/>
                <a:headEnd type="none" w="med" len="med"/>
                <a:tailEnd type="none" w="med" len="med"/>
              </a:ln>
            </c:spPr>
            <c:extLst>
              <c:ext xmlns:c16="http://schemas.microsoft.com/office/drawing/2014/chart" uri="{C3380CC4-5D6E-409C-BE32-E72D297353CC}">
                <c16:uniqueId val="{0000000D-5515-407C-91D6-25EC0F8E54FA}"/>
              </c:ext>
            </c:extLst>
          </c:dPt>
          <c:xVal>
            <c:numRef>
              <c:f>Gauge_Prasad!$M$19:$M$20</c:f>
              <c:numCache>
                <c:formatCode>0.00</c:formatCode>
                <c:ptCount val="2"/>
                <c:pt idx="0">
                  <c:v>0</c:v>
                </c:pt>
                <c:pt idx="1">
                  <c:v>-0.43180330612803935</c:v>
                </c:pt>
              </c:numCache>
            </c:numRef>
          </c:xVal>
          <c:yVal>
            <c:numRef>
              <c:f>Gauge_Prasad!$N$19:$N$20</c:f>
              <c:numCache>
                <c:formatCode>General</c:formatCode>
                <c:ptCount val="2"/>
                <c:pt idx="0">
                  <c:v>0</c:v>
                </c:pt>
                <c:pt idx="1">
                  <c:v>0.83495263627159988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E-5515-407C-91D6-25EC0F8E54FA}"/>
            </c:ext>
          </c:extLst>
        </c:ser>
        <c:ser>
          <c:idx val="2"/>
          <c:order val="2"/>
          <c:tx>
            <c:v>Label</c:v>
          </c:tx>
          <c:spPr>
            <a:ln w="28575">
              <a:noFill/>
            </a:ln>
          </c:spPr>
          <c:marker>
            <c:symbol val="none"/>
          </c:marker>
          <c:dLbls>
            <c:dLbl>
              <c:idx val="0"/>
              <c:layout>
                <c:manualLayout>
                  <c:x val="-5.906478340484142E-2"/>
                  <c:y val="-1.9047599616844556E-2"/>
                </c:manualLayout>
              </c:layout>
              <c:tx>
                <c:strRef>
                  <c:f>Gauge_Prasad!$P$19</c:f>
                  <c:strCache>
                    <c:ptCount val="1"/>
                    <c:pt idx="0">
                      <c:v>0</c:v>
                    </c:pt>
                  </c:strCache>
                </c:strRef>
              </c:tx>
              <c:spPr>
                <a:noFill/>
                <a:ln w="25400" cap="rnd">
                  <a:noFill/>
                </a:ln>
              </c:spPr>
              <c:txPr>
                <a:bodyPr/>
                <a:lstStyle/>
                <a:p>
                  <a:pPr>
                    <a:defRPr sz="1000" b="1" i="0" u="none" strike="noStrike" baseline="0">
                      <a:solidFill>
                        <a:sysClr val="windowText" lastClr="000000"/>
                      </a:solidFill>
                      <a:effectLst>
                        <a:outerShdw blurRad="876300" dist="38100" dir="19140000" sx="1000" sy="1000" algn="tr" rotWithShape="0">
                          <a:prstClr val="black">
                            <a:alpha val="0"/>
                          </a:prstClr>
                        </a:outerShdw>
                      </a:effectLst>
                      <a:latin typeface="Arial"/>
                      <a:ea typeface="Arial"/>
                      <a:cs typeface="Arial"/>
                    </a:defRPr>
                  </a:pPr>
                  <a:endParaRPr lang="en-US"/>
                </a:p>
              </c:txPr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{BC37CB7C-9BD1-466E-B2AD-BD91B360D166}</c15:txfldGUID>
                      <c15:f>Gauge_Prasad!$P$19</c15:f>
                      <c15:dlblFieldTableCache>
                        <c:ptCount val="1"/>
                        <c:pt idx="0">
                          <c:v>0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0F-5515-407C-91D6-25EC0F8E54FA}"/>
                </c:ext>
              </c:extLst>
            </c:dLbl>
            <c:dLbl>
              <c:idx val="1"/>
              <c:layout>
                <c:manualLayout>
                  <c:x val="-6.9854649491575854E-2"/>
                  <c:y val="-1.6216523629449107E-2"/>
                </c:manualLayout>
              </c:layout>
              <c:tx>
                <c:strRef>
                  <c:f>Gauge_Prasad!$P$20</c:f>
                  <c:strCache>
                    <c:ptCount val="1"/>
                    <c:pt idx="0">
                      <c:v>10</c:v>
                    </c:pt>
                  </c:strCache>
                </c:strRef>
              </c:tx>
              <c:spPr>
                <a:noFill/>
                <a:ln w="25400" cap="rnd">
                  <a:noFill/>
                </a:ln>
              </c:spPr>
              <c:txPr>
                <a:bodyPr/>
                <a:lstStyle/>
                <a:p>
                  <a:pPr>
                    <a:defRPr sz="1000" b="1" i="0" u="none" strike="noStrike" baseline="0">
                      <a:solidFill>
                        <a:sysClr val="windowText" lastClr="000000"/>
                      </a:solidFill>
                      <a:effectLst>
                        <a:outerShdw blurRad="876300" dist="38100" dir="19140000" sx="1000" sy="1000" algn="tr" rotWithShape="0">
                          <a:prstClr val="black">
                            <a:alpha val="0"/>
                          </a:prstClr>
                        </a:outerShdw>
                      </a:effectLst>
                      <a:latin typeface="Arial"/>
                      <a:ea typeface="Arial"/>
                      <a:cs typeface="Arial"/>
                    </a:defRPr>
                  </a:pPr>
                  <a:endParaRPr lang="en-US"/>
                </a:p>
              </c:txPr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{F2FCE03D-E3E9-4D93-AB70-842A3EDD4CCC}</c15:txfldGUID>
                      <c15:f>Gauge_Prasad!$P$20</c15:f>
                      <c15:dlblFieldTableCache>
                        <c:ptCount val="1"/>
                        <c:pt idx="0">
                          <c:v>10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10-5515-407C-91D6-25EC0F8E54FA}"/>
                </c:ext>
              </c:extLst>
            </c:dLbl>
            <c:dLbl>
              <c:idx val="2"/>
              <c:layout>
                <c:manualLayout>
                  <c:x val="-7.1231178971410875E-2"/>
                  <c:y val="-1.7842077934796249E-2"/>
                </c:manualLayout>
              </c:layout>
              <c:tx>
                <c:strRef>
                  <c:f>Gauge_Prasad!$P$21</c:f>
                  <c:strCache>
                    <c:ptCount val="1"/>
                    <c:pt idx="0">
                      <c:v>20</c:v>
                    </c:pt>
                  </c:strCache>
                </c:strRef>
              </c:tx>
              <c:spPr>
                <a:noFill/>
                <a:ln w="25400" cap="rnd">
                  <a:noFill/>
                </a:ln>
              </c:spPr>
              <c:txPr>
                <a:bodyPr/>
                <a:lstStyle/>
                <a:p>
                  <a:pPr>
                    <a:defRPr sz="1000" b="1" i="0" u="none" strike="noStrike" baseline="0">
                      <a:solidFill>
                        <a:sysClr val="windowText" lastClr="000000"/>
                      </a:solidFill>
                      <a:effectLst>
                        <a:outerShdw blurRad="876300" dist="38100" dir="19140000" sx="1000" sy="1000" algn="tr" rotWithShape="0">
                          <a:prstClr val="black">
                            <a:alpha val="0"/>
                          </a:prstClr>
                        </a:outerShdw>
                      </a:effectLst>
                      <a:latin typeface="Arial"/>
                      <a:ea typeface="Arial"/>
                      <a:cs typeface="Arial"/>
                    </a:defRPr>
                  </a:pPr>
                  <a:endParaRPr lang="en-US"/>
                </a:p>
              </c:txPr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{8BACB441-B15A-41BC-9153-30FF1A24C4FE}</c15:txfldGUID>
                      <c15:f>Gauge_Prasad!$P$21</c15:f>
                      <c15:dlblFieldTableCache>
                        <c:ptCount val="1"/>
                        <c:pt idx="0">
                          <c:v>20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11-5515-407C-91D6-25EC0F8E54FA}"/>
                </c:ext>
              </c:extLst>
            </c:dLbl>
            <c:dLbl>
              <c:idx val="3"/>
              <c:layout>
                <c:manualLayout>
                  <c:x val="-7.9796778332837812E-2"/>
                  <c:y val="-3.1055126030189301E-2"/>
                </c:manualLayout>
              </c:layout>
              <c:tx>
                <c:strRef>
                  <c:f>Gauge_Prasad!$P$22</c:f>
                  <c:strCache>
                    <c:ptCount val="1"/>
                    <c:pt idx="0">
                      <c:v>30</c:v>
                    </c:pt>
                  </c:strCache>
                </c:strRef>
              </c:tx>
              <c:spPr>
                <a:noFill/>
                <a:ln w="25400" cap="rnd">
                  <a:noFill/>
                </a:ln>
              </c:spPr>
              <c:txPr>
                <a:bodyPr/>
                <a:lstStyle/>
                <a:p>
                  <a:pPr>
                    <a:defRPr sz="1000" b="1" i="0" u="none" strike="noStrike" baseline="0">
                      <a:solidFill>
                        <a:sysClr val="windowText" lastClr="000000"/>
                      </a:solidFill>
                      <a:effectLst>
                        <a:outerShdw blurRad="876300" dist="38100" dir="19140000" sx="1000" sy="1000" algn="tr" rotWithShape="0">
                          <a:prstClr val="black">
                            <a:alpha val="0"/>
                          </a:prstClr>
                        </a:outerShdw>
                      </a:effectLst>
                      <a:latin typeface="Arial"/>
                      <a:ea typeface="Arial"/>
                      <a:cs typeface="Arial"/>
                    </a:defRPr>
                  </a:pPr>
                  <a:endParaRPr lang="en-US"/>
                </a:p>
              </c:txPr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{838D3830-1606-44F6-B990-4891545A90CC}</c15:txfldGUID>
                      <c15:f>Gauge_Prasad!$P$22</c15:f>
                      <c15:dlblFieldTableCache>
                        <c:ptCount val="1"/>
                        <c:pt idx="0">
                          <c:v>30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12-5515-407C-91D6-25EC0F8E54FA}"/>
                </c:ext>
              </c:extLst>
            </c:dLbl>
            <c:dLbl>
              <c:idx val="4"/>
              <c:layout>
                <c:manualLayout>
                  <c:x val="-7.0230515087654849E-2"/>
                  <c:y val="-4.0314715882486758E-2"/>
                </c:manualLayout>
              </c:layout>
              <c:tx>
                <c:strRef>
                  <c:f>Gauge_Prasad!$P$23</c:f>
                  <c:strCache>
                    <c:ptCount val="1"/>
                    <c:pt idx="0">
                      <c:v>40</c:v>
                    </c:pt>
                  </c:strCache>
                </c:strRef>
              </c:tx>
              <c:spPr>
                <a:noFill/>
                <a:ln w="25400" cap="rnd">
                  <a:noFill/>
                </a:ln>
              </c:spPr>
              <c:txPr>
                <a:bodyPr/>
                <a:lstStyle/>
                <a:p>
                  <a:pPr>
                    <a:defRPr sz="1000" b="1" i="0" u="none" strike="noStrike" baseline="0">
                      <a:solidFill>
                        <a:sysClr val="windowText" lastClr="000000"/>
                      </a:solidFill>
                      <a:effectLst>
                        <a:outerShdw blurRad="876300" dist="38100" dir="19140000" sx="1000" sy="1000" algn="tr" rotWithShape="0">
                          <a:prstClr val="black">
                            <a:alpha val="0"/>
                          </a:prstClr>
                        </a:outerShdw>
                      </a:effectLst>
                      <a:latin typeface="Arial"/>
                      <a:ea typeface="Arial"/>
                      <a:cs typeface="Arial"/>
                    </a:defRPr>
                  </a:pPr>
                  <a:endParaRPr lang="en-US"/>
                </a:p>
              </c:txPr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{C8031512-0DED-4867-BBCD-D22106977012}</c15:txfldGUID>
                      <c15:f>Gauge_Prasad!$P$23</c15:f>
                      <c15:dlblFieldTableCache>
                        <c:ptCount val="1"/>
                        <c:pt idx="0">
                          <c:v>40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13-5515-407C-91D6-25EC0F8E54FA}"/>
                </c:ext>
              </c:extLst>
            </c:dLbl>
            <c:dLbl>
              <c:idx val="5"/>
              <c:layout>
                <c:manualLayout>
                  <c:x val="-4.5436477480983305E-2"/>
                  <c:y val="-5.1459224446867784E-2"/>
                </c:manualLayout>
              </c:layout>
              <c:tx>
                <c:strRef>
                  <c:f>Gauge_Prasad!$P$24</c:f>
                  <c:strCache>
                    <c:ptCount val="1"/>
                    <c:pt idx="0">
                      <c:v>50</c:v>
                    </c:pt>
                  </c:strCache>
                </c:strRef>
              </c:tx>
              <c:spPr>
                <a:noFill/>
                <a:ln w="25400" cap="rnd">
                  <a:noFill/>
                </a:ln>
              </c:spPr>
              <c:txPr>
                <a:bodyPr/>
                <a:lstStyle/>
                <a:p>
                  <a:pPr>
                    <a:defRPr sz="1000" b="1" i="0" u="none" strike="noStrike" baseline="0">
                      <a:solidFill>
                        <a:sysClr val="windowText" lastClr="000000"/>
                      </a:solidFill>
                      <a:effectLst>
                        <a:outerShdw blurRad="876300" dist="38100" dir="19140000" sx="1000" sy="1000" algn="tr" rotWithShape="0">
                          <a:prstClr val="black">
                            <a:alpha val="0"/>
                          </a:prstClr>
                        </a:outerShdw>
                      </a:effectLst>
                      <a:latin typeface="Arial"/>
                      <a:ea typeface="Arial"/>
                      <a:cs typeface="Arial"/>
                    </a:defRPr>
                  </a:pPr>
                  <a:endParaRPr lang="en-US"/>
                </a:p>
              </c:txPr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{7B38B3C2-2BD4-487A-AE62-EACB4D3C44A2}</c15:txfldGUID>
                      <c15:f>Gauge_Prasad!$P$24</c15:f>
                      <c15:dlblFieldTableCache>
                        <c:ptCount val="1"/>
                        <c:pt idx="0">
                          <c:v>50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14-5515-407C-91D6-25EC0F8E54FA}"/>
                </c:ext>
              </c:extLst>
            </c:dLbl>
            <c:dLbl>
              <c:idx val="6"/>
              <c:layout>
                <c:manualLayout>
                  <c:x val="-3.1441602989924489E-2"/>
                  <c:y val="-4.885359402049004E-2"/>
                </c:manualLayout>
              </c:layout>
              <c:tx>
                <c:strRef>
                  <c:f>Gauge_Prasad!$P$25</c:f>
                  <c:strCache>
                    <c:ptCount val="1"/>
                    <c:pt idx="0">
                      <c:v>60</c:v>
                    </c:pt>
                  </c:strCache>
                </c:strRef>
              </c:tx>
              <c:spPr>
                <a:noFill/>
                <a:ln w="25400" cap="rnd">
                  <a:noFill/>
                </a:ln>
              </c:spPr>
              <c:txPr>
                <a:bodyPr/>
                <a:lstStyle/>
                <a:p>
                  <a:pPr>
                    <a:defRPr sz="1000" b="1" i="0" u="none" strike="noStrike" baseline="0">
                      <a:solidFill>
                        <a:sysClr val="windowText" lastClr="000000"/>
                      </a:solidFill>
                      <a:effectLst>
                        <a:outerShdw blurRad="876300" dist="38100" dir="19140000" sx="1000" sy="1000" algn="tr" rotWithShape="0">
                          <a:prstClr val="black">
                            <a:alpha val="0"/>
                          </a:prstClr>
                        </a:outerShdw>
                      </a:effectLst>
                      <a:latin typeface="Arial"/>
                      <a:ea typeface="Arial"/>
                      <a:cs typeface="Arial"/>
                    </a:defRPr>
                  </a:pPr>
                  <a:endParaRPr lang="en-US"/>
                </a:p>
              </c:txPr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{51260F9A-4320-4F3D-BD18-DAAB99C2382D}</c15:txfldGUID>
                      <c15:f>Gauge_Prasad!$P$25</c15:f>
                      <c15:dlblFieldTableCache>
                        <c:ptCount val="1"/>
                        <c:pt idx="0">
                          <c:v>60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15-5515-407C-91D6-25EC0F8E54FA}"/>
                </c:ext>
              </c:extLst>
            </c:dLbl>
            <c:dLbl>
              <c:idx val="7"/>
              <c:layout>
                <c:manualLayout>
                  <c:x val="-1.7405664788929732E-2"/>
                  <c:y val="-4.6214446613038543E-2"/>
                </c:manualLayout>
              </c:layout>
              <c:tx>
                <c:strRef>
                  <c:f>Gauge_Prasad!$P$26</c:f>
                  <c:strCache>
                    <c:ptCount val="1"/>
                    <c:pt idx="0">
                      <c:v>70</c:v>
                    </c:pt>
                  </c:strCache>
                </c:strRef>
              </c:tx>
              <c:spPr>
                <a:noFill/>
                <a:ln w="25400" cap="rnd">
                  <a:noFill/>
                </a:ln>
              </c:spPr>
              <c:txPr>
                <a:bodyPr/>
                <a:lstStyle/>
                <a:p>
                  <a:pPr>
                    <a:defRPr sz="1000" b="1" i="0" u="none" strike="noStrike" baseline="0">
                      <a:solidFill>
                        <a:sysClr val="windowText" lastClr="000000"/>
                      </a:solidFill>
                      <a:effectLst>
                        <a:outerShdw blurRad="876300" dist="38100" dir="19140000" sx="1000" sy="1000" algn="tr" rotWithShape="0">
                          <a:prstClr val="black">
                            <a:alpha val="0"/>
                          </a:prstClr>
                        </a:outerShdw>
                      </a:effectLst>
                      <a:latin typeface="Arial"/>
                      <a:ea typeface="Arial"/>
                      <a:cs typeface="Arial"/>
                    </a:defRPr>
                  </a:pPr>
                  <a:endParaRPr lang="en-US"/>
                </a:p>
              </c:txPr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{CB0D4546-9349-45BD-AE7B-7F492A260275}</c15:txfldGUID>
                      <c15:f>Gauge_Prasad!$P$26</c15:f>
                      <c15:dlblFieldTableCache>
                        <c:ptCount val="1"/>
                        <c:pt idx="0">
                          <c:v>70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16-5515-407C-91D6-25EC0F8E54FA}"/>
                </c:ext>
              </c:extLst>
            </c:dLbl>
            <c:dLbl>
              <c:idx val="8"/>
              <c:layout>
                <c:manualLayout>
                  <c:x val="-1.3734557682466911E-2"/>
                  <c:y val="-3.2105080073978789E-2"/>
                </c:manualLayout>
              </c:layout>
              <c:tx>
                <c:strRef>
                  <c:f>Gauge_Prasad!$P$27</c:f>
                  <c:strCache>
                    <c:ptCount val="1"/>
                    <c:pt idx="0">
                      <c:v>80</c:v>
                    </c:pt>
                  </c:strCache>
                </c:strRef>
              </c:tx>
              <c:spPr>
                <a:noFill/>
                <a:ln w="25400" cap="rnd">
                  <a:noFill/>
                </a:ln>
              </c:spPr>
              <c:txPr>
                <a:bodyPr/>
                <a:lstStyle/>
                <a:p>
                  <a:pPr>
                    <a:defRPr sz="1000" b="1" i="0" u="none" strike="noStrike" baseline="0">
                      <a:solidFill>
                        <a:sysClr val="windowText" lastClr="000000"/>
                      </a:solidFill>
                      <a:effectLst>
                        <a:outerShdw blurRad="876300" dist="38100" dir="19140000" sx="1000" sy="1000" algn="tr" rotWithShape="0">
                          <a:prstClr val="black">
                            <a:alpha val="0"/>
                          </a:prstClr>
                        </a:outerShdw>
                      </a:effectLst>
                      <a:latin typeface="Arial"/>
                      <a:ea typeface="Arial"/>
                      <a:cs typeface="Arial"/>
                    </a:defRPr>
                  </a:pPr>
                  <a:endParaRPr lang="en-US"/>
                </a:p>
              </c:txPr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{A3629D1F-7D28-4CE9-BC81-71F259852C5D}</c15:txfldGUID>
                      <c15:f>Gauge_Prasad!$P$27</c15:f>
                      <c15:dlblFieldTableCache>
                        <c:ptCount val="1"/>
                        <c:pt idx="0">
                          <c:v>80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17-5515-407C-91D6-25EC0F8E54FA}"/>
                </c:ext>
              </c:extLst>
            </c:dLbl>
            <c:dLbl>
              <c:idx val="9"/>
              <c:layout>
                <c:manualLayout>
                  <c:x val="-9.7956532026082527E-3"/>
                  <c:y val="-3.5236070065624042E-2"/>
                </c:manualLayout>
              </c:layout>
              <c:tx>
                <c:strRef>
                  <c:f>Gauge_Prasad!$P$28</c:f>
                  <c:strCache>
                    <c:ptCount val="1"/>
                    <c:pt idx="0">
                      <c:v>90</c:v>
                    </c:pt>
                  </c:strCache>
                </c:strRef>
              </c:tx>
              <c:spPr>
                <a:noFill/>
                <a:ln w="25400" cap="rnd">
                  <a:noFill/>
                </a:ln>
              </c:spPr>
              <c:txPr>
                <a:bodyPr/>
                <a:lstStyle/>
                <a:p>
                  <a:pPr>
                    <a:defRPr sz="1000" b="1" i="0" u="none" strike="noStrike" baseline="0">
                      <a:solidFill>
                        <a:sysClr val="windowText" lastClr="000000"/>
                      </a:solidFill>
                      <a:effectLst>
                        <a:outerShdw blurRad="876300" dist="38100" dir="19140000" sx="1000" sy="1000" algn="tr" rotWithShape="0">
                          <a:prstClr val="black">
                            <a:alpha val="0"/>
                          </a:prstClr>
                        </a:outerShdw>
                      </a:effectLst>
                      <a:latin typeface="Arial"/>
                      <a:ea typeface="Arial"/>
                      <a:cs typeface="Arial"/>
                    </a:defRPr>
                  </a:pPr>
                  <a:endParaRPr lang="en-US"/>
                </a:p>
              </c:txPr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{018B91C8-122A-4B39-A104-CF1DC3E2EF4C}</c15:txfldGUID>
                      <c15:f>Gauge_Prasad!$P$28</c15:f>
                      <c15:dlblFieldTableCache>
                        <c:ptCount val="1"/>
                        <c:pt idx="0">
                          <c:v>90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18-5515-407C-91D6-25EC0F8E54FA}"/>
                </c:ext>
              </c:extLst>
            </c:dLbl>
            <c:dLbl>
              <c:idx val="10"/>
              <c:layout>
                <c:manualLayout>
                  <c:x val="-1.1588841364416779E-2"/>
                  <c:y val="-2.3149739717489168E-2"/>
                </c:manualLayout>
              </c:layout>
              <c:tx>
                <c:strRef>
                  <c:f>Gauge_Prasad!$P$29</c:f>
                  <c:strCache>
                    <c:ptCount val="1"/>
                    <c:pt idx="0">
                      <c:v>100</c:v>
                    </c:pt>
                  </c:strCache>
                </c:strRef>
              </c:tx>
              <c:spPr>
                <a:noFill/>
                <a:ln w="25400" cap="rnd">
                  <a:noFill/>
                </a:ln>
              </c:spPr>
              <c:txPr>
                <a:bodyPr/>
                <a:lstStyle/>
                <a:p>
                  <a:pPr>
                    <a:defRPr sz="1000" b="1" i="0" u="none" strike="noStrike" baseline="0">
                      <a:solidFill>
                        <a:sysClr val="windowText" lastClr="000000"/>
                      </a:solidFill>
                      <a:effectLst>
                        <a:outerShdw blurRad="876300" dist="38100" dir="19140000" sx="1000" sy="1000" algn="tr" rotWithShape="0">
                          <a:prstClr val="black">
                            <a:alpha val="0"/>
                          </a:prstClr>
                        </a:outerShdw>
                      </a:effectLst>
                      <a:latin typeface="Arial"/>
                      <a:ea typeface="Arial"/>
                      <a:cs typeface="Arial"/>
                    </a:defRPr>
                  </a:pPr>
                  <a:endParaRPr lang="en-US"/>
                </a:p>
              </c:txPr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{EA17F316-0898-4B39-B2E0-F6C498454819}</c15:txfldGUID>
                      <c15:f>Gauge_Prasad!$P$29</c15:f>
                      <c15:dlblFieldTableCache>
                        <c:ptCount val="1"/>
                        <c:pt idx="0">
                          <c:v>100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19-5515-407C-91D6-25EC0F8E54FA}"/>
                </c:ext>
              </c:extLst>
            </c:dLbl>
            <c:spPr>
              <a:noFill/>
              <a:ln cap="rnd">
                <a:noFill/>
              </a:ln>
            </c:spPr>
            <c:txPr>
              <a:bodyPr/>
              <a:lstStyle/>
              <a:p>
                <a:pPr>
                  <a:defRPr sz="1000">
                    <a:solidFill>
                      <a:sysClr val="windowText" lastClr="000000"/>
                    </a:solidFill>
                    <a:effectLst>
                      <a:outerShdw blurRad="876300" dist="38100" dir="19140000" sx="1000" sy="1000" algn="tr" rotWithShape="0">
                        <a:prstClr val="black">
                          <a:alpha val="0"/>
                        </a:prstClr>
                      </a:outerShdw>
                    </a:effectLst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Gauge_Prasad!$Q$19:$Q$29</c:f>
              <c:numCache>
                <c:formatCode>0.00</c:formatCode>
                <c:ptCount val="11"/>
                <c:pt idx="0">
                  <c:v>-1</c:v>
                </c:pt>
                <c:pt idx="1">
                  <c:v>-0.95105651629515353</c:v>
                </c:pt>
                <c:pt idx="2">
                  <c:v>-0.80901699437494745</c:v>
                </c:pt>
                <c:pt idx="3">
                  <c:v>-0.58778525229247314</c:v>
                </c:pt>
                <c:pt idx="4">
                  <c:v>-0.30901699437494745</c:v>
                </c:pt>
                <c:pt idx="5">
                  <c:v>-6.1257422745431001E-17</c:v>
                </c:pt>
                <c:pt idx="6">
                  <c:v>0.30901699437494734</c:v>
                </c:pt>
                <c:pt idx="7">
                  <c:v>0.58778525229247303</c:v>
                </c:pt>
                <c:pt idx="8">
                  <c:v>0.80901699437494734</c:v>
                </c:pt>
                <c:pt idx="9">
                  <c:v>0.95105651629515353</c:v>
                </c:pt>
                <c:pt idx="10">
                  <c:v>1</c:v>
                </c:pt>
              </c:numCache>
            </c:numRef>
          </c:xVal>
          <c:yVal>
            <c:numRef>
              <c:f>Gauge_Prasad!$R$19:$R$29</c:f>
              <c:numCache>
                <c:formatCode>0.00</c:formatCode>
                <c:ptCount val="11"/>
                <c:pt idx="0">
                  <c:v>0</c:v>
                </c:pt>
                <c:pt idx="1">
                  <c:v>0.3090169943749474</c:v>
                </c:pt>
                <c:pt idx="2">
                  <c:v>0.58778525229247314</c:v>
                </c:pt>
                <c:pt idx="3">
                  <c:v>0.80901699437494745</c:v>
                </c:pt>
                <c:pt idx="4">
                  <c:v>0.95105651629515353</c:v>
                </c:pt>
                <c:pt idx="5">
                  <c:v>1</c:v>
                </c:pt>
                <c:pt idx="6">
                  <c:v>0.95105651629515364</c:v>
                </c:pt>
                <c:pt idx="7">
                  <c:v>0.80901699437494745</c:v>
                </c:pt>
                <c:pt idx="8">
                  <c:v>0.58778525229247325</c:v>
                </c:pt>
                <c:pt idx="9">
                  <c:v>0.30901699437494751</c:v>
                </c:pt>
                <c:pt idx="10">
                  <c:v>1.22514845490862E-16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A-5515-407C-91D6-25EC0F8E54F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3174912"/>
        <c:axId val="103176448"/>
      </c:scatterChart>
      <c:valAx>
        <c:axId val="103174912"/>
        <c:scaling>
          <c:orientation val="minMax"/>
          <c:max val="1"/>
          <c:min val="-1"/>
        </c:scaling>
        <c:delete val="0"/>
        <c:axPos val="b"/>
        <c:numFmt formatCode="0.00" sourceLinked="1"/>
        <c:majorTickMark val="none"/>
        <c:minorTickMark val="none"/>
        <c:tickLblPos val="none"/>
        <c:spPr>
          <a:ln w="9525">
            <a:noFill/>
          </a:ln>
        </c:spPr>
        <c:crossAx val="103176448"/>
        <c:crossesAt val="0"/>
        <c:crossBetween val="midCat"/>
      </c:valAx>
      <c:valAx>
        <c:axId val="103176448"/>
        <c:scaling>
          <c:orientation val="minMax"/>
          <c:max val="1"/>
          <c:min val="-1"/>
        </c:scaling>
        <c:delete val="0"/>
        <c:axPos val="l"/>
        <c:numFmt formatCode="General" sourceLinked="1"/>
        <c:majorTickMark val="none"/>
        <c:minorTickMark val="none"/>
        <c:tickLblPos val="none"/>
        <c:spPr>
          <a:ln w="9525">
            <a:noFill/>
          </a:ln>
        </c:spPr>
        <c:crossAx val="103174912"/>
        <c:crossesAt val="0"/>
        <c:crossBetween val="midCat"/>
      </c:valAx>
      <c:spPr>
        <a:noFill/>
        <a:ln w="25400">
          <a:noFill/>
        </a:ln>
      </c:spPr>
    </c:plotArea>
    <c:plotVisOnly val="1"/>
    <c:dispBlanksAs val="gap"/>
    <c:showDLblsOverMax val="0"/>
  </c:chart>
  <c:spPr>
    <a:blipFill>
      <a:blip xmlns:r="http://schemas.openxmlformats.org/officeDocument/2006/relationships" r:embed="rId2"/>
      <a:stretch>
        <a:fillRect/>
      </a:stretch>
    </a:blipFill>
    <a:ln w="3175">
      <a:noFill/>
      <a:prstDash val="solid"/>
    </a:ln>
  </c:spPr>
  <c:txPr>
    <a:bodyPr/>
    <a:lstStyle/>
    <a:p>
      <a:pPr>
        <a:defRPr sz="800" b="1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" r="0.75" t="1" header="0.5" footer="0.5"/>
    <c:pageSetup/>
  </c:printSettings>
  <c:userShapes r:id="rId3"/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114300</xdr:colOff>
      <xdr:row>5</xdr:row>
      <xdr:rowOff>90487</xdr:rowOff>
    </xdr:from>
    <xdr:to>
      <xdr:col>8</xdr:col>
      <xdr:colOff>28575</xdr:colOff>
      <xdr:row>25</xdr:row>
      <xdr:rowOff>60007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104775</xdr:colOff>
      <xdr:row>29</xdr:row>
      <xdr:rowOff>109537</xdr:rowOff>
    </xdr:from>
    <xdr:to>
      <xdr:col>8</xdr:col>
      <xdr:colOff>19050</xdr:colOff>
      <xdr:row>49</xdr:row>
      <xdr:rowOff>79057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8</xdr:col>
      <xdr:colOff>123825</xdr:colOff>
      <xdr:row>5</xdr:row>
      <xdr:rowOff>90487</xdr:rowOff>
    </xdr:from>
    <xdr:to>
      <xdr:col>14</xdr:col>
      <xdr:colOff>390525</xdr:colOff>
      <xdr:row>25</xdr:row>
      <xdr:rowOff>60007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8</xdr:col>
      <xdr:colOff>152400</xdr:colOff>
      <xdr:row>29</xdr:row>
      <xdr:rowOff>104775</xdr:rowOff>
    </xdr:from>
    <xdr:to>
      <xdr:col>14</xdr:col>
      <xdr:colOff>419100</xdr:colOff>
      <xdr:row>49</xdr:row>
      <xdr:rowOff>74295</xdr:rowOff>
    </xdr:to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222250</xdr:colOff>
      <xdr:row>4</xdr:row>
      <xdr:rowOff>888999</xdr:rowOff>
    </xdr:from>
    <xdr:to>
      <xdr:col>15</xdr:col>
      <xdr:colOff>42371</xdr:colOff>
      <xdr:row>7</xdr:row>
      <xdr:rowOff>155397</xdr:rowOff>
    </xdr:to>
    <xdr:graphicFrame macro="">
      <xdr:nvGraphicFramePr>
        <xdr:cNvPr id="3" name="Chart 6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c:userShapes xmlns:c="http://schemas.openxmlformats.org/drawingml/2006/chart">
  <cdr:relSizeAnchor xmlns:cdr="http://schemas.openxmlformats.org/drawingml/2006/chartDrawing">
    <cdr:from>
      <cdr:x>0.00781</cdr:x>
      <cdr:y>0.69393</cdr:y>
    </cdr:from>
    <cdr:to>
      <cdr:x>1</cdr:x>
      <cdr:y>0.85828</cdr:y>
    </cdr:to>
    <cdr:sp macro="" textlink="">
      <cdr:nvSpPr>
        <cdr:cNvPr id="2" name="TextBox 1"/>
        <cdr:cNvSpPr txBox="1"/>
      </cdr:nvSpPr>
      <cdr:spPr>
        <a:xfrm xmlns:a="http://schemas.openxmlformats.org/drawingml/2006/main">
          <a:off x="30865" y="2030969"/>
          <a:ext cx="3921145" cy="481015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none" rtlCol="0" anchor="ctr"/>
        <a:lstStyle xmlns:a="http://schemas.openxmlformats.org/drawingml/2006/main"/>
        <a:p xmlns:a="http://schemas.openxmlformats.org/drawingml/2006/main">
          <a:pPr algn="ctr"/>
          <a:r>
            <a:rPr lang="en-GB" sz="1400" b="1"/>
            <a:t>Requirement</a:t>
          </a:r>
          <a:r>
            <a:rPr lang="en-GB" sz="1400" b="1" baseline="0"/>
            <a:t> Ambiguity Index</a:t>
          </a:r>
          <a:endParaRPr lang="en-GB" sz="1400" b="1"/>
        </a:p>
      </cdr:txBody>
    </cdr:sp>
  </cdr:relSizeAnchor>
  <cdr:relSizeAnchor xmlns:cdr="http://schemas.openxmlformats.org/drawingml/2006/chartDrawing">
    <cdr:from>
      <cdr:x>0.4284</cdr:x>
      <cdr:y>0.84039</cdr:y>
    </cdr:from>
    <cdr:to>
      <cdr:x>0.58351</cdr:x>
      <cdr:y>0.92833</cdr:y>
    </cdr:to>
    <cdr:sp macro="" textlink="">
      <cdr:nvSpPr>
        <cdr:cNvPr id="3" name="Flowchart: Alternate Process 2"/>
        <cdr:cNvSpPr/>
      </cdr:nvSpPr>
      <cdr:spPr>
        <a:xfrm xmlns:a="http://schemas.openxmlformats.org/drawingml/2006/main">
          <a:off x="1532467" y="2389716"/>
          <a:ext cx="554876" cy="250053"/>
        </a:xfrm>
        <a:prstGeom xmlns:a="http://schemas.openxmlformats.org/drawingml/2006/main" prst="flowChartAlternateProcess">
          <a:avLst/>
        </a:prstGeom>
        <a:noFill xmlns:a="http://schemas.openxmlformats.org/drawingml/2006/main"/>
        <a:ln xmlns:a="http://schemas.openxmlformats.org/drawingml/2006/main">
          <a:noFill/>
        </a:ln>
      </cdr:spPr>
      <cdr:style>
        <a:lnRef xmlns:a="http://schemas.openxmlformats.org/drawingml/2006/main" idx="2">
          <a:schemeClr val="accent1">
            <a:shade val="50000"/>
          </a:schemeClr>
        </a:lnRef>
        <a:fillRef xmlns:a="http://schemas.openxmlformats.org/drawingml/2006/main" idx="1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lt1"/>
        </a:fontRef>
      </cdr:style>
      <cdr:txBody>
        <a:bodyPr xmlns:a="http://schemas.openxmlformats.org/drawingml/2006/main" rtlCol="0" anchor="ctr"/>
        <a:lstStyle xmlns:a="http://schemas.openxmlformats.org/drawingml/2006/main"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40036484-AAB8-4EE4-B7BA-58571A345D7D}" type="TxLink">
            <a:rPr lang="en-US" sz="1400" b="1">
              <a:solidFill>
                <a:sysClr val="windowText" lastClr="000000"/>
              </a:solidFill>
            </a:rPr>
            <a:pPr algn="ctr"/>
            <a:t>18%</a:t>
          </a:fld>
          <a:endParaRPr lang="en-US" sz="1400" b="1">
            <a:solidFill>
              <a:sysClr val="windowText" lastClr="000000"/>
            </a:solidFill>
          </a:endParaRPr>
        </a:p>
      </cdr:txBody>
    </cdr:sp>
  </cdr:relSizeAnchor>
  <cdr:relSizeAnchor xmlns:cdr="http://schemas.openxmlformats.org/drawingml/2006/chartDrawing">
    <cdr:from>
      <cdr:x>0.00781</cdr:x>
      <cdr:y>0.69393</cdr:y>
    </cdr:from>
    <cdr:to>
      <cdr:x>1</cdr:x>
      <cdr:y>0.85828</cdr:y>
    </cdr:to>
    <cdr:sp macro="" textlink="">
      <cdr:nvSpPr>
        <cdr:cNvPr id="4" name="TextBox 1"/>
        <cdr:cNvSpPr txBox="1"/>
      </cdr:nvSpPr>
      <cdr:spPr>
        <a:xfrm xmlns:a="http://schemas.openxmlformats.org/drawingml/2006/main">
          <a:off x="30865" y="2030969"/>
          <a:ext cx="3921145" cy="481015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none" rtlCol="0" anchor="ctr"/>
        <a:lstStyle xmlns:a="http://schemas.openxmlformats.org/drawingml/2006/main"/>
        <a:p xmlns:a="http://schemas.openxmlformats.org/drawingml/2006/main">
          <a:pPr algn="ctr"/>
          <a:r>
            <a:rPr lang="en-GB" sz="1400" b="1"/>
            <a:t>Requirement</a:t>
          </a:r>
          <a:r>
            <a:rPr lang="en-GB" sz="1400" b="1" baseline="0"/>
            <a:t> Ambiguity Index</a:t>
          </a:r>
          <a:endParaRPr lang="en-GB" sz="1400" b="1"/>
        </a:p>
      </cdr:txBody>
    </cdr:sp>
  </cdr:relSizeAnchor>
  <cdr:relSizeAnchor xmlns:cdr="http://schemas.openxmlformats.org/drawingml/2006/chartDrawing">
    <cdr:from>
      <cdr:x>0.4284</cdr:x>
      <cdr:y>0.84039</cdr:y>
    </cdr:from>
    <cdr:to>
      <cdr:x>0.58351</cdr:x>
      <cdr:y>0.92833</cdr:y>
    </cdr:to>
    <cdr:sp macro="" textlink="">
      <cdr:nvSpPr>
        <cdr:cNvPr id="5" name="Flowchart: Alternate Process 2"/>
        <cdr:cNvSpPr/>
      </cdr:nvSpPr>
      <cdr:spPr>
        <a:xfrm xmlns:a="http://schemas.openxmlformats.org/drawingml/2006/main">
          <a:off x="1532467" y="2389716"/>
          <a:ext cx="554876" cy="250053"/>
        </a:xfrm>
        <a:prstGeom xmlns:a="http://schemas.openxmlformats.org/drawingml/2006/main" prst="flowChartAlternateProcess">
          <a:avLst/>
        </a:prstGeom>
        <a:noFill xmlns:a="http://schemas.openxmlformats.org/drawingml/2006/main"/>
        <a:ln xmlns:a="http://schemas.openxmlformats.org/drawingml/2006/main">
          <a:noFill/>
        </a:ln>
      </cdr:spPr>
      <cdr:style>
        <a:lnRef xmlns:a="http://schemas.openxmlformats.org/drawingml/2006/main" idx="2">
          <a:schemeClr val="accent1">
            <a:shade val="50000"/>
          </a:schemeClr>
        </a:lnRef>
        <a:fillRef xmlns:a="http://schemas.openxmlformats.org/drawingml/2006/main" idx="1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lt1"/>
        </a:fontRef>
      </cdr:style>
      <cdr:txBody>
        <a:bodyPr xmlns:a="http://schemas.openxmlformats.org/drawingml/2006/main" rtlCol="0" anchor="ctr"/>
        <a:lstStyle xmlns:a="http://schemas.openxmlformats.org/drawingml/2006/main"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40036484-AAB8-4EE4-B7BA-58571A345D7D}" type="TxLink">
            <a:rPr lang="en-US" sz="1400" b="1">
              <a:solidFill>
                <a:sysClr val="windowText" lastClr="000000"/>
              </a:solidFill>
            </a:rPr>
            <a:pPr algn="ctr"/>
            <a:t>18%</a:t>
          </a:fld>
          <a:endParaRPr lang="en-US" sz="1400" b="1">
            <a:solidFill>
              <a:sysClr val="windowText" lastClr="000000"/>
            </a:solidFill>
          </a:endParaRPr>
        </a:p>
      </cdr:txBody>
    </cdr:sp>
  </cdr:relSizeAnchor>
  <cdr:relSizeAnchor xmlns:cdr="http://schemas.openxmlformats.org/drawingml/2006/chartDrawing">
    <cdr:from>
      <cdr:x>0.00781</cdr:x>
      <cdr:y>0.69393</cdr:y>
    </cdr:from>
    <cdr:to>
      <cdr:x>1</cdr:x>
      <cdr:y>0.85828</cdr:y>
    </cdr:to>
    <cdr:sp macro="" textlink="">
      <cdr:nvSpPr>
        <cdr:cNvPr id="6" name="TextBox 1"/>
        <cdr:cNvSpPr txBox="1"/>
      </cdr:nvSpPr>
      <cdr:spPr>
        <a:xfrm xmlns:a="http://schemas.openxmlformats.org/drawingml/2006/main">
          <a:off x="30865" y="2030969"/>
          <a:ext cx="3921145" cy="481015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none" rtlCol="0" anchor="ctr"/>
        <a:lstStyle xmlns:a="http://schemas.openxmlformats.org/drawingml/2006/main"/>
        <a:p xmlns:a="http://schemas.openxmlformats.org/drawingml/2006/main">
          <a:pPr algn="ctr"/>
          <a:r>
            <a:rPr lang="en-GB" sz="1400" b="1"/>
            <a:t>Requirement</a:t>
          </a:r>
          <a:r>
            <a:rPr lang="en-GB" sz="1400" b="1" baseline="0"/>
            <a:t> Ambiguity Index</a:t>
          </a:r>
          <a:endParaRPr lang="en-GB" sz="1400" b="1"/>
        </a:p>
      </cdr:txBody>
    </cdr:sp>
  </cdr:relSizeAnchor>
  <cdr:relSizeAnchor xmlns:cdr="http://schemas.openxmlformats.org/drawingml/2006/chartDrawing">
    <cdr:from>
      <cdr:x>0.4284</cdr:x>
      <cdr:y>0.84039</cdr:y>
    </cdr:from>
    <cdr:to>
      <cdr:x>0.58351</cdr:x>
      <cdr:y>0.92833</cdr:y>
    </cdr:to>
    <cdr:sp macro="" textlink="">
      <cdr:nvSpPr>
        <cdr:cNvPr id="7" name="Flowchart: Alternate Process 2"/>
        <cdr:cNvSpPr/>
      </cdr:nvSpPr>
      <cdr:spPr>
        <a:xfrm xmlns:a="http://schemas.openxmlformats.org/drawingml/2006/main">
          <a:off x="1532467" y="2389716"/>
          <a:ext cx="554876" cy="250053"/>
        </a:xfrm>
        <a:prstGeom xmlns:a="http://schemas.openxmlformats.org/drawingml/2006/main" prst="flowChartAlternateProcess">
          <a:avLst/>
        </a:prstGeom>
        <a:noFill xmlns:a="http://schemas.openxmlformats.org/drawingml/2006/main"/>
        <a:ln xmlns:a="http://schemas.openxmlformats.org/drawingml/2006/main">
          <a:noFill/>
        </a:ln>
      </cdr:spPr>
      <cdr:style>
        <a:lnRef xmlns:a="http://schemas.openxmlformats.org/drawingml/2006/main" idx="2">
          <a:schemeClr val="accent1">
            <a:shade val="50000"/>
          </a:schemeClr>
        </a:lnRef>
        <a:fillRef xmlns:a="http://schemas.openxmlformats.org/drawingml/2006/main" idx="1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lt1"/>
        </a:fontRef>
      </cdr:style>
      <cdr:txBody>
        <a:bodyPr xmlns:a="http://schemas.openxmlformats.org/drawingml/2006/main" rtlCol="0" anchor="ctr"/>
        <a:lstStyle xmlns:a="http://schemas.openxmlformats.org/drawingml/2006/main"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40036484-AAB8-4EE4-B7BA-58571A345D7D}" type="TxLink">
            <a:rPr lang="en-US" sz="1400" b="1">
              <a:solidFill>
                <a:sysClr val="windowText" lastClr="000000"/>
              </a:solidFill>
            </a:rPr>
            <a:pPr algn="ctr"/>
            <a:t>18%</a:t>
          </a:fld>
          <a:endParaRPr lang="en-US" sz="1400" b="1">
            <a:solidFill>
              <a:sysClr val="windowText" lastClr="000000"/>
            </a:solidFill>
          </a:endParaRPr>
        </a:p>
      </cdr:txBody>
    </cdr:sp>
  </cdr:relSizeAnchor>
  <cdr:relSizeAnchor xmlns:cdr="http://schemas.openxmlformats.org/drawingml/2006/chartDrawing">
    <cdr:from>
      <cdr:x>0.00781</cdr:x>
      <cdr:y>0.69393</cdr:y>
    </cdr:from>
    <cdr:to>
      <cdr:x>1</cdr:x>
      <cdr:y>0.85828</cdr:y>
    </cdr:to>
    <cdr:sp macro="" textlink="">
      <cdr:nvSpPr>
        <cdr:cNvPr id="8" name="TextBox 1"/>
        <cdr:cNvSpPr txBox="1"/>
      </cdr:nvSpPr>
      <cdr:spPr>
        <a:xfrm xmlns:a="http://schemas.openxmlformats.org/drawingml/2006/main">
          <a:off x="30865" y="2030969"/>
          <a:ext cx="3921145" cy="481015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none" rtlCol="0" anchor="ctr"/>
        <a:lstStyle xmlns:a="http://schemas.openxmlformats.org/drawingml/2006/main"/>
        <a:p xmlns:a="http://schemas.openxmlformats.org/drawingml/2006/main">
          <a:pPr algn="ctr"/>
          <a:r>
            <a:rPr lang="en-GB" sz="1400" b="1"/>
            <a:t>Requirement</a:t>
          </a:r>
          <a:r>
            <a:rPr lang="en-GB" sz="1400" b="1" baseline="0"/>
            <a:t> Ambiguity Index</a:t>
          </a:r>
          <a:endParaRPr lang="en-GB" sz="1400" b="1"/>
        </a:p>
      </cdr:txBody>
    </cdr:sp>
  </cdr:relSizeAnchor>
  <cdr:relSizeAnchor xmlns:cdr="http://schemas.openxmlformats.org/drawingml/2006/chartDrawing">
    <cdr:from>
      <cdr:x>0.4284</cdr:x>
      <cdr:y>0.84039</cdr:y>
    </cdr:from>
    <cdr:to>
      <cdr:x>0.58351</cdr:x>
      <cdr:y>0.92833</cdr:y>
    </cdr:to>
    <cdr:sp macro="" textlink="">
      <cdr:nvSpPr>
        <cdr:cNvPr id="9" name="Flowchart: Alternate Process 2"/>
        <cdr:cNvSpPr/>
      </cdr:nvSpPr>
      <cdr:spPr>
        <a:xfrm xmlns:a="http://schemas.openxmlformats.org/drawingml/2006/main">
          <a:off x="1532467" y="2389716"/>
          <a:ext cx="554876" cy="250053"/>
        </a:xfrm>
        <a:prstGeom xmlns:a="http://schemas.openxmlformats.org/drawingml/2006/main" prst="flowChartAlternateProcess">
          <a:avLst/>
        </a:prstGeom>
        <a:noFill xmlns:a="http://schemas.openxmlformats.org/drawingml/2006/main"/>
        <a:ln xmlns:a="http://schemas.openxmlformats.org/drawingml/2006/main">
          <a:noFill/>
        </a:ln>
      </cdr:spPr>
      <cdr:style>
        <a:lnRef xmlns:a="http://schemas.openxmlformats.org/drawingml/2006/main" idx="2">
          <a:schemeClr val="accent1">
            <a:shade val="50000"/>
          </a:schemeClr>
        </a:lnRef>
        <a:fillRef xmlns:a="http://schemas.openxmlformats.org/drawingml/2006/main" idx="1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lt1"/>
        </a:fontRef>
      </cdr:style>
      <cdr:txBody>
        <a:bodyPr xmlns:a="http://schemas.openxmlformats.org/drawingml/2006/main" rtlCol="0" anchor="ctr"/>
        <a:lstStyle xmlns:a="http://schemas.openxmlformats.org/drawingml/2006/main"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40036484-AAB8-4EE4-B7BA-58571A345D7D}" type="TxLink">
            <a:rPr lang="en-US" sz="1400" b="1">
              <a:solidFill>
                <a:sysClr val="windowText" lastClr="000000"/>
              </a:solidFill>
            </a:rPr>
            <a:pPr algn="ctr"/>
            <a:t>18%</a:t>
          </a:fld>
          <a:endParaRPr lang="en-US" sz="1400" b="1">
            <a:solidFill>
              <a:sysClr val="windowText" lastClr="000000"/>
            </a:solidFill>
          </a:endParaRPr>
        </a:p>
      </cdr:txBody>
    </cdr:sp>
  </cdr:relSizeAnchor>
</c:userShapes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585108</xdr:colOff>
      <xdr:row>1</xdr:row>
      <xdr:rowOff>122463</xdr:rowOff>
    </xdr:from>
    <xdr:to>
      <xdr:col>12</xdr:col>
      <xdr:colOff>485663</xdr:colOff>
      <xdr:row>12</xdr:row>
      <xdr:rowOff>241877</xdr:rowOff>
    </xdr:to>
    <xdr:graphicFrame macro="">
      <xdr:nvGraphicFramePr>
        <xdr:cNvPr id="6" name="Chart 6">
          <a:extLst>
            <a:ext uri="{FF2B5EF4-FFF2-40B4-BE49-F238E27FC236}">
              <a16:creationId xmlns:a16="http://schemas.microsoft.com/office/drawing/2014/main" id="{00000000-0008-0000-0500-000006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321069</xdr:colOff>
      <xdr:row>11</xdr:row>
      <xdr:rowOff>46259</xdr:rowOff>
    </xdr:from>
    <xdr:to>
      <xdr:col>10</xdr:col>
      <xdr:colOff>266345</xdr:colOff>
      <xdr:row>12</xdr:row>
      <xdr:rowOff>48662</xdr:rowOff>
    </xdr:to>
    <xdr:sp macro="" textlink="K17">
      <xdr:nvSpPr>
        <xdr:cNvPr id="7" name="Flowchart: Alternate Process 6">
          <a:extLst>
            <a:ext uri="{FF2B5EF4-FFF2-40B4-BE49-F238E27FC236}">
              <a16:creationId xmlns:a16="http://schemas.microsoft.com/office/drawing/2014/main" id="{00000000-0008-0000-0500-000007000000}"/>
            </a:ext>
          </a:extLst>
        </xdr:cNvPr>
        <xdr:cNvSpPr/>
      </xdr:nvSpPr>
      <xdr:spPr>
        <a:xfrm>
          <a:off x="5899998" y="2740473"/>
          <a:ext cx="557597" cy="247332"/>
        </a:xfrm>
        <a:prstGeom prst="flowChartAlternateProcess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fld id="{40036484-AAB8-4EE4-B7BA-58571A345D7D}" type="TxLink">
            <a:rPr lang="en-US" sz="1400" b="1">
              <a:solidFill>
                <a:sysClr val="windowText" lastClr="000000"/>
              </a:solidFill>
            </a:rPr>
            <a:pPr algn="ctr"/>
            <a:t>35%</a:t>
          </a:fld>
          <a:endParaRPr lang="en-US" sz="1400" b="1">
            <a:solidFill>
              <a:sysClr val="windowText" lastClr="000000"/>
            </a:solidFill>
          </a:endParaRPr>
        </a:p>
      </xdr:txBody>
    </xdr:sp>
    <xdr:clientData/>
  </xdr:twoCellAnchor>
</xdr:wsDr>
</file>

<file path=xl/drawings/drawing5.xml><?xml version="1.0" encoding="utf-8"?>
<c:userShapes xmlns:c="http://schemas.openxmlformats.org/drawingml/2006/chart">
  <cdr:relSizeAnchor xmlns:cdr="http://schemas.openxmlformats.org/drawingml/2006/chartDrawing">
    <cdr:from>
      <cdr:x>0.00781</cdr:x>
      <cdr:y>0.69393</cdr:y>
    </cdr:from>
    <cdr:to>
      <cdr:x>1</cdr:x>
      <cdr:y>0.85828</cdr:y>
    </cdr:to>
    <cdr:sp macro="" textlink="">
      <cdr:nvSpPr>
        <cdr:cNvPr id="2" name="TextBox 1"/>
        <cdr:cNvSpPr txBox="1"/>
      </cdr:nvSpPr>
      <cdr:spPr>
        <a:xfrm xmlns:a="http://schemas.openxmlformats.org/drawingml/2006/main">
          <a:off x="30865" y="2030969"/>
          <a:ext cx="3921145" cy="481015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none" rtlCol="0" anchor="ctr"/>
        <a:lstStyle xmlns:a="http://schemas.openxmlformats.org/drawingml/2006/main"/>
        <a:p xmlns:a="http://schemas.openxmlformats.org/drawingml/2006/main">
          <a:pPr algn="ctr"/>
          <a:r>
            <a:rPr lang="en-GB" sz="1400" b="1"/>
            <a:t>Requirement</a:t>
          </a:r>
          <a:r>
            <a:rPr lang="en-GB" sz="1400" b="1" baseline="0"/>
            <a:t> Ambiguity Index</a:t>
          </a:r>
          <a:endParaRPr lang="en-GB" sz="1400" b="1"/>
        </a:p>
      </cdr:txBody>
    </cdr:sp>
  </cdr:relSizeAnchor>
</c:userShape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Y:\Cigniti_Master_Template%202012-12-12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inotion/DocArchive/View/4046807484/Process%20Complaince%20Chart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txplin-my.sharepoint.com/Documents%20and%20Settings/duggirp.NWIE/Desktop/Post%20ideas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Z:\UAL%20Process\ecommerce\Template_Effort_Estimation%20ver%203.2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structions"/>
      <sheetName val="SheetName"/>
      <sheetName val="Revision History"/>
    </sheetNames>
    <sheetDataSet>
      <sheetData sheetId="0"/>
      <sheetData sheetId="1"/>
      <sheetData sheetId="2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Gauge"/>
      <sheetName val="Dashboard"/>
      <sheetName val="Step by Step"/>
    </sheetNames>
    <sheetDataSet>
      <sheetData sheetId="0"/>
      <sheetData sheetId="1"/>
      <sheetData sheetId="2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"/>
      <sheetName val="bar with a twist"/>
      <sheetName val="data around the clock"/>
      <sheetName val="clock using donut chart - fun"/>
      <sheetName val="symbols in axis labels"/>
      <sheetName val="type ahead combo"/>
      <sheetName val="Sheet3"/>
      <sheetName val="Date with my sheet"/>
      <sheetName val="gauge chart"/>
      <sheetName val="dice throw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/>
      <sheetData sheetId="6" refreshError="1"/>
      <sheetData sheetId="7" refreshError="1"/>
      <sheetData sheetId="8" refreshError="1"/>
      <sheetData sheetId="9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esting Characteristics"/>
      <sheetName val="Baseline"/>
      <sheetName val="Assumptions"/>
      <sheetName val="Estimation Summary"/>
      <sheetName val="Estimation"/>
    </sheetNames>
    <sheetDataSet>
      <sheetData sheetId="0"/>
      <sheetData sheetId="1"/>
      <sheetData sheetId="2"/>
      <sheetData sheetId="3"/>
      <sheetData sheetId="4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29"/>
  <sheetViews>
    <sheetView zoomScale="90" zoomScaleNormal="90" workbookViewId="0">
      <selection activeCell="R4" sqref="R4"/>
    </sheetView>
  </sheetViews>
  <sheetFormatPr defaultColWidth="8.7265625" defaultRowHeight="11.5"/>
  <cols>
    <col min="1" max="1" width="5.453125" style="2" bestFit="1" customWidth="1"/>
    <col min="2" max="2" width="7.453125" style="2" customWidth="1"/>
    <col min="3" max="3" width="8.7265625" style="2" customWidth="1"/>
    <col min="4" max="4" width="7.7265625" style="2" customWidth="1"/>
    <col min="5" max="5" width="9.7265625" style="2" bestFit="1" customWidth="1"/>
    <col min="6" max="6" width="9.453125" style="2" customWidth="1"/>
    <col min="7" max="7" width="9.7265625" style="2" customWidth="1"/>
    <col min="8" max="8" width="11.7265625" style="2" customWidth="1"/>
    <col min="9" max="9" width="10.54296875" style="2" customWidth="1"/>
    <col min="10" max="10" width="6.81640625" style="2" bestFit="1" customWidth="1"/>
    <col min="11" max="11" width="14.7265625" style="2" bestFit="1" customWidth="1"/>
    <col min="12" max="12" width="13.453125" style="2" customWidth="1"/>
    <col min="13" max="13" width="10.26953125" style="2" bestFit="1" customWidth="1"/>
    <col min="14" max="14" width="8.7265625" style="2"/>
    <col min="15" max="15" width="6.81640625" style="2" customWidth="1"/>
    <col min="16" max="16384" width="8.7265625" style="2"/>
  </cols>
  <sheetData>
    <row r="1" spans="1:15" ht="55" customHeight="1"/>
    <row r="2" spans="1:15" ht="32.25" customHeight="1">
      <c r="A2" s="106" t="s">
        <v>0</v>
      </c>
      <c r="B2" s="107"/>
      <c r="C2" s="107"/>
      <c r="D2" s="107"/>
      <c r="E2" s="107"/>
      <c r="F2" s="107"/>
      <c r="G2" s="107"/>
      <c r="H2" s="107"/>
      <c r="I2" s="107"/>
      <c r="J2" s="107"/>
      <c r="K2" s="107"/>
      <c r="L2" s="107"/>
      <c r="M2" s="107"/>
      <c r="N2" s="107"/>
      <c r="O2" s="108"/>
    </row>
    <row r="3" spans="1:15" ht="19.899999999999999" customHeight="1">
      <c r="A3" s="31"/>
      <c r="B3" s="38"/>
      <c r="C3" s="110" t="s">
        <v>1</v>
      </c>
      <c r="D3" s="110"/>
      <c r="E3" s="110"/>
      <c r="F3" s="110"/>
      <c r="G3" s="109" t="s">
        <v>2</v>
      </c>
      <c r="H3" s="38"/>
      <c r="I3" s="38"/>
      <c r="J3" s="38"/>
      <c r="K3" s="110" t="s">
        <v>3</v>
      </c>
      <c r="L3" s="110"/>
      <c r="M3" s="110"/>
      <c r="N3" s="110"/>
      <c r="O3" s="32"/>
    </row>
    <row r="4" spans="1:15" s="10" customFormat="1" ht="19.899999999999999" customHeight="1">
      <c r="A4" s="33"/>
      <c r="B4" s="39"/>
      <c r="C4" s="91" t="s">
        <v>4</v>
      </c>
      <c r="D4" s="91" t="s">
        <v>5</v>
      </c>
      <c r="E4" s="91" t="s">
        <v>6</v>
      </c>
      <c r="F4" s="91" t="s">
        <v>7</v>
      </c>
      <c r="G4" s="109"/>
      <c r="H4" s="38"/>
      <c r="I4" s="38"/>
      <c r="J4" s="38"/>
      <c r="K4" s="91" t="s">
        <v>8</v>
      </c>
      <c r="L4" s="92" t="s">
        <v>9</v>
      </c>
      <c r="M4" s="91" t="s">
        <v>10</v>
      </c>
      <c r="N4" s="91" t="s">
        <v>11</v>
      </c>
      <c r="O4" s="34"/>
    </row>
    <row r="5" spans="1:15" s="11" customFormat="1" ht="19.899999999999999" customHeight="1">
      <c r="A5" s="35"/>
      <c r="B5" s="40"/>
      <c r="C5" s="93">
        <f>COUNTIF('Ambiguity Defects'!$I$3:$I$200,Summary!C4)</f>
        <v>11</v>
      </c>
      <c r="D5" s="94">
        <f>COUNTIF('Ambiguity Defects'!$I$3:$I$200,Summary!D4)</f>
        <v>0</v>
      </c>
      <c r="E5" s="94">
        <f>COUNTIF('Ambiguity Defects'!$I$3:$I$200,Summary!E4)</f>
        <v>2</v>
      </c>
      <c r="F5" s="94">
        <f>COUNTIF('Ambiguity Defects'!$I$3:$I$200,Summary!F4)</f>
        <v>0</v>
      </c>
      <c r="G5" s="95">
        <f>IF(ISERROR(SUM(C5:F5)),"",SUM(C5:F5))</f>
        <v>13</v>
      </c>
      <c r="H5" s="41"/>
      <c r="I5" s="41"/>
      <c r="J5" s="41"/>
      <c r="K5" s="93">
        <f>COUNTIF('Ambiguity Defects'!$G$3:$G$200,Summary!K4)</f>
        <v>5</v>
      </c>
      <c r="L5" s="93">
        <f>COUNTIF('Ambiguity Defects'!$G$3:$G$200,Summary!L4)</f>
        <v>4</v>
      </c>
      <c r="M5" s="93">
        <f>COUNTIF('Ambiguity Defects'!$G$3:$G$200,Summary!M4)</f>
        <v>1</v>
      </c>
      <c r="N5" s="93">
        <f>COUNTIF('Ambiguity Defects'!$G$3:$G$200,Summary!N4)</f>
        <v>3</v>
      </c>
      <c r="O5" s="36"/>
    </row>
    <row r="27" spans="1:15" ht="19.899999999999999" customHeight="1">
      <c r="A27" s="80"/>
      <c r="B27" s="81"/>
      <c r="C27" s="110" t="s">
        <v>12</v>
      </c>
      <c r="D27" s="110"/>
      <c r="E27" s="110"/>
      <c r="F27" s="110"/>
      <c r="G27" s="81"/>
      <c r="H27" s="81"/>
      <c r="I27" s="110" t="s">
        <v>13</v>
      </c>
      <c r="J27" s="110"/>
      <c r="K27" s="110"/>
      <c r="L27" s="110"/>
      <c r="M27" s="110"/>
      <c r="N27" s="110"/>
      <c r="O27" s="82"/>
    </row>
    <row r="28" spans="1:15" s="10" customFormat="1" ht="32.25" customHeight="1">
      <c r="A28" s="33"/>
      <c r="B28" s="38"/>
      <c r="C28" s="91" t="s">
        <v>14</v>
      </c>
      <c r="D28" s="91" t="s">
        <v>15</v>
      </c>
      <c r="E28" s="91" t="s">
        <v>16</v>
      </c>
      <c r="F28" s="91" t="s">
        <v>17</v>
      </c>
      <c r="G28" s="38"/>
      <c r="H28" s="38"/>
      <c r="I28" s="111" t="s">
        <v>18</v>
      </c>
      <c r="J28" s="111"/>
      <c r="K28" s="92" t="s">
        <v>19</v>
      </c>
      <c r="L28" s="92" t="s">
        <v>20</v>
      </c>
      <c r="M28" s="92" t="s">
        <v>21</v>
      </c>
      <c r="N28" s="92" t="s">
        <v>22</v>
      </c>
      <c r="O28" s="34"/>
    </row>
    <row r="29" spans="1:15" s="11" customFormat="1" ht="19.899999999999999" customHeight="1">
      <c r="A29" s="35"/>
      <c r="B29" s="41"/>
      <c r="C29" s="93">
        <f>COUNTIF('Ambiguity Defects'!$H$3:$H$200,Summary!C28)</f>
        <v>1</v>
      </c>
      <c r="D29" s="94">
        <f>COUNTIF('Ambiguity Defects'!$H$3:$H$200,Summary!D28)</f>
        <v>5</v>
      </c>
      <c r="E29" s="94">
        <f>COUNTIF('Ambiguity Defects'!$H$3:$H$200,Summary!E28)</f>
        <v>5</v>
      </c>
      <c r="F29" s="94">
        <f>COUNTIF('Ambiguity Defects'!$H$3:$H$200,Summary!F28)</f>
        <v>2</v>
      </c>
      <c r="G29" s="41"/>
      <c r="H29" s="41"/>
      <c r="I29" s="105">
        <f>COUNTIF('Ambiguity Defects'!$F$3:$F$200,Summary!I28)</f>
        <v>3</v>
      </c>
      <c r="J29" s="105"/>
      <c r="K29" s="93">
        <f>COUNTIF('Ambiguity Defects'!$F$3:$F$200,Summary!K28)</f>
        <v>5</v>
      </c>
      <c r="L29" s="93">
        <f>COUNTIF('Ambiguity Defects'!$F$3:$F$200,Summary!L28)</f>
        <v>3</v>
      </c>
      <c r="M29" s="93">
        <f>COUNTIF('Ambiguity Defects'!$F$3:$F$200,Summary!M28)</f>
        <v>1</v>
      </c>
      <c r="N29" s="93">
        <f>COUNTIF('Ambiguity Defects'!$F$3:$F$200,Summary!N28)</f>
        <v>1</v>
      </c>
      <c r="O29" s="36"/>
    </row>
  </sheetData>
  <mergeCells count="8">
    <mergeCell ref="I29:J29"/>
    <mergeCell ref="A2:O2"/>
    <mergeCell ref="G3:G4"/>
    <mergeCell ref="C3:F3"/>
    <mergeCell ref="C27:F27"/>
    <mergeCell ref="K3:N3"/>
    <mergeCell ref="I28:J28"/>
    <mergeCell ref="I27:N27"/>
  </mergeCells>
  <phoneticPr fontId="5" type="noConversion"/>
  <pageMargins left="0.7" right="0.7" top="0.75" bottom="0.75" header="0.3" footer="0.3"/>
  <pageSetup scale="77" orientation="landscape"/>
  <headerFooter>
    <oddHeader>&amp;L&amp;F&amp;R&amp;G</oddHeader>
    <oddFooter>&amp;LDoc ID: SPQ-T21Proprietary &amp; Confidential&amp;RPage &amp;P of &amp;NV 1.0</oddFooter>
    <evenHeader>&amp;CBrown - Forman / Cigniti, All Rights Reserved.</evenHeader>
    <evenFooter>&amp;L&amp;FProprietary &amp; Confidential&amp;RPage &amp;P of &amp;NV 3.0</evenFooter>
  </headerFooter>
  <drawing r:id="rId1"/>
  <extLst>
    <ext xmlns:mx="http://schemas.microsoft.com/office/mac/excel/2008/main" uri="{64002731-A6B0-56B0-2670-7721B7C09600}">
      <mx:PLV Mode="0" OnePage="0" WScale="0"/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O37"/>
  <sheetViews>
    <sheetView showGridLines="0" tabSelected="1" zoomScale="90" zoomScaleNormal="90" workbookViewId="0">
      <selection activeCell="B2" sqref="B2:F2"/>
    </sheetView>
  </sheetViews>
  <sheetFormatPr defaultColWidth="9.1796875" defaultRowHeight="14.5"/>
  <cols>
    <col min="1" max="1" width="5.81640625" style="8" bestFit="1" customWidth="1"/>
    <col min="2" max="2" width="14.26953125" style="8" customWidth="1"/>
    <col min="3" max="3" width="40.26953125" style="21" customWidth="1"/>
    <col min="4" max="4" width="13.81640625" style="22" customWidth="1"/>
    <col min="5" max="5" width="13.1796875" style="22" hidden="1" customWidth="1"/>
    <col min="6" max="6" width="11.453125" style="8" customWidth="1"/>
    <col min="7" max="7" width="13.54296875" style="8" bestFit="1" customWidth="1"/>
    <col min="8" max="8" width="15.7265625" style="8" customWidth="1"/>
    <col min="9" max="9" width="11.453125" style="8" bestFit="1" customWidth="1"/>
    <col min="10" max="10" width="9.81640625" style="8" customWidth="1"/>
    <col min="11" max="11" width="3.54296875" style="9" customWidth="1"/>
    <col min="12" max="12" width="25" style="9" customWidth="1"/>
    <col min="13" max="16384" width="9.1796875" style="9"/>
  </cols>
  <sheetData>
    <row r="1" spans="1:15" ht="55" customHeight="1">
      <c r="L1" s="68" t="s">
        <v>23</v>
      </c>
      <c r="M1" s="68"/>
      <c r="N1" s="68"/>
      <c r="O1" s="68"/>
    </row>
    <row r="2" spans="1:15" ht="40" customHeight="1">
      <c r="A2" s="83"/>
      <c r="B2" s="114" t="s">
        <v>24</v>
      </c>
      <c r="C2" s="114"/>
      <c r="D2" s="114"/>
      <c r="E2" s="114"/>
      <c r="F2" s="114"/>
      <c r="G2" s="121">
        <f>SUMPRODUCT(E5:E37,J5:J37)/COUNT(J5:J37)</f>
        <v>0.34807692307692312</v>
      </c>
      <c r="H2" s="121"/>
      <c r="I2" s="121"/>
      <c r="J2" s="122"/>
      <c r="L2" s="68"/>
      <c r="M2" s="68"/>
      <c r="N2" s="68"/>
      <c r="O2" s="68"/>
    </row>
    <row r="3" spans="1:15" s="20" customFormat="1" ht="19.5" customHeight="1">
      <c r="A3" s="115" t="s">
        <v>25</v>
      </c>
      <c r="B3" s="115" t="s">
        <v>26</v>
      </c>
      <c r="C3" s="119" t="s">
        <v>27</v>
      </c>
      <c r="D3" s="120"/>
      <c r="E3" s="42"/>
      <c r="F3" s="43">
        <v>0.3</v>
      </c>
      <c r="G3" s="43">
        <v>0.15</v>
      </c>
      <c r="H3" s="43">
        <v>0.3</v>
      </c>
      <c r="I3" s="43">
        <v>0.25</v>
      </c>
      <c r="J3" s="117" t="s">
        <v>28</v>
      </c>
      <c r="L3" s="112" t="s">
        <v>29</v>
      </c>
      <c r="M3" s="113"/>
      <c r="N3" s="113"/>
    </row>
    <row r="4" spans="1:15" s="20" customFormat="1" ht="28">
      <c r="A4" s="116"/>
      <c r="B4" s="116"/>
      <c r="C4" s="23" t="s">
        <v>30</v>
      </c>
      <c r="D4" s="23" t="s">
        <v>31</v>
      </c>
      <c r="E4" s="37" t="s">
        <v>32</v>
      </c>
      <c r="F4" s="23" t="s">
        <v>8</v>
      </c>
      <c r="G4" s="23" t="s">
        <v>10</v>
      </c>
      <c r="H4" s="23" t="s">
        <v>9</v>
      </c>
      <c r="I4" s="23" t="s">
        <v>11</v>
      </c>
      <c r="J4" s="118"/>
      <c r="L4" s="113"/>
      <c r="M4" s="113"/>
      <c r="N4" s="113"/>
    </row>
    <row r="5" spans="1:15" ht="26">
      <c r="A5" s="96">
        <v>1</v>
      </c>
      <c r="B5" s="70" t="s">
        <v>33</v>
      </c>
      <c r="C5" s="70"/>
      <c r="D5" s="84" t="s">
        <v>15</v>
      </c>
      <c r="E5" s="97">
        <f>IF(D5="High",1,IF(D5="Medium",0.5,IF(D5="Trivial",0.3,)))</f>
        <v>1</v>
      </c>
      <c r="F5" s="98">
        <f>IF(COUNTIFS('Ambiguity Defects'!$B$3:$B$200,RAI!$B5,'Ambiguity Defects'!$G$3:$G$200,RAI!F$4)=0,0,1)</f>
        <v>1</v>
      </c>
      <c r="G5" s="98">
        <f>IF(COUNTIFS('Ambiguity Defects'!$B$3:$B$200,RAI!$B5,'Ambiguity Defects'!$G$3:$G$200,RAI!G$4)=0,0,1)</f>
        <v>0</v>
      </c>
      <c r="H5" s="98">
        <f>IF(COUNTIFS('Ambiguity Defects'!$B$3:$B$200,RAI!$B5,'Ambiguity Defects'!$G$3:$G$200,RAI!H$4)=0,0,1)</f>
        <v>0</v>
      </c>
      <c r="I5" s="98">
        <f>IF(COUNTIFS('Ambiguity Defects'!$B$3:$B$200,RAI!$B5,'Ambiguity Defects'!$G$3:$G$200,RAI!I$4)=0,0,1)</f>
        <v>1</v>
      </c>
      <c r="J5" s="99">
        <f t="shared" ref="J5:J17" si="0">SUMPRODUCT(F5:I5,$F$3:$I$3)</f>
        <v>0.55000000000000004</v>
      </c>
      <c r="L5" s="113"/>
      <c r="M5" s="113"/>
      <c r="N5" s="113"/>
    </row>
    <row r="6" spans="1:15" ht="26">
      <c r="A6" s="96">
        <v>2</v>
      </c>
      <c r="B6" s="70" t="s">
        <v>33</v>
      </c>
      <c r="C6" s="70"/>
      <c r="D6" s="84" t="s">
        <v>15</v>
      </c>
      <c r="E6" s="97">
        <f>IF(D6="High",1,IF(D6="Medium",0.5,IF(D6="Trivial",0.3,)))</f>
        <v>1</v>
      </c>
      <c r="F6" s="98">
        <f>IF(COUNTIFS('Ambiguity Defects'!$B$3:$B$200,RAI!$B6,'Ambiguity Defects'!$G$3:$G$200,RAI!F$4)=0,0,1)</f>
        <v>1</v>
      </c>
      <c r="G6" s="98">
        <f>IF(COUNTIFS('Ambiguity Defects'!$B$3:$B$200,RAI!$B6,'Ambiguity Defects'!$G$3:$G$200,RAI!G$4)=0,0,1)</f>
        <v>0</v>
      </c>
      <c r="H6" s="98">
        <f>IF(COUNTIFS('Ambiguity Defects'!$B$3:$B$200,RAI!$B6,'Ambiguity Defects'!$G$3:$G$200,RAI!H$4)=0,0,1)</f>
        <v>0</v>
      </c>
      <c r="I6" s="98">
        <f>IF(COUNTIFS('Ambiguity Defects'!$B$3:$B$200,RAI!$B6,'Ambiguity Defects'!$G$3:$G$200,RAI!I$4)=0,0,1)</f>
        <v>1</v>
      </c>
      <c r="J6" s="100">
        <f>SUMPRODUCT(F6:I6,$F$3:$I$3)</f>
        <v>0.55000000000000004</v>
      </c>
    </row>
    <row r="7" spans="1:15" ht="85.5" customHeight="1">
      <c r="A7" s="96">
        <v>3</v>
      </c>
      <c r="B7" s="70" t="s">
        <v>33</v>
      </c>
      <c r="C7" s="70"/>
      <c r="D7" s="84" t="s">
        <v>15</v>
      </c>
      <c r="E7" s="97">
        <f t="shared" ref="E7:E17" si="1">IF(D7="High",1,IF(D7="Medium",0.5,IF(D7="Trivial",0.3,)))</f>
        <v>1</v>
      </c>
      <c r="F7" s="98">
        <f>IF(COUNTIFS('Ambiguity Defects'!$B$3:$B$200,RAI!$B7,'Ambiguity Defects'!$G$3:$G$200,RAI!F$4)=0,0,1)</f>
        <v>1</v>
      </c>
      <c r="G7" s="98">
        <f>IF(COUNTIFS('Ambiguity Defects'!$B$3:$B$200,RAI!$B7,'Ambiguity Defects'!$G$3:$G$200,RAI!G$4)=0,0,1)</f>
        <v>0</v>
      </c>
      <c r="H7" s="98">
        <f>IF(COUNTIFS('Ambiguity Defects'!$B$3:$B$200,RAI!$B7,'Ambiguity Defects'!$G$3:$G$200,RAI!H$4)=0,0,1)</f>
        <v>0</v>
      </c>
      <c r="I7" s="98">
        <f>IF(COUNTIFS('Ambiguity Defects'!$B$3:$B$200,RAI!$B7,'Ambiguity Defects'!$G$3:$G$200,RAI!I$4)=0,0,1)</f>
        <v>1</v>
      </c>
      <c r="J7" s="100">
        <f t="shared" si="0"/>
        <v>0.55000000000000004</v>
      </c>
    </row>
    <row r="8" spans="1:15">
      <c r="A8" s="96">
        <v>4</v>
      </c>
      <c r="B8" s="70" t="s">
        <v>35</v>
      </c>
      <c r="C8" s="70"/>
      <c r="D8" s="84" t="s">
        <v>16</v>
      </c>
      <c r="E8" s="97">
        <f t="shared" si="1"/>
        <v>0.5</v>
      </c>
      <c r="F8" s="98">
        <f>IF(COUNTIFS('Ambiguity Defects'!$B$3:$B$200,RAI!$B8,'Ambiguity Defects'!$G$3:$G$200,RAI!F$4)=0,0,1)</f>
        <v>1</v>
      </c>
      <c r="G8" s="98">
        <f>IF(COUNTIFS('Ambiguity Defects'!$B$3:$B$200,RAI!$B8,'Ambiguity Defects'!$G$3:$G$200,RAI!G$4)=0,0,1)</f>
        <v>0</v>
      </c>
      <c r="H8" s="98">
        <f>IF(COUNTIFS('Ambiguity Defects'!$B$3:$B$200,RAI!$B8,'Ambiguity Defects'!$G$3:$G$200,RAI!H$4)=0,0,1)</f>
        <v>0</v>
      </c>
      <c r="I8" s="98">
        <f>IF(COUNTIFS('Ambiguity Defects'!$B$3:$B$200,RAI!$B8,'Ambiguity Defects'!$G$3:$G$200,RAI!I$4)=0,0,1)</f>
        <v>0</v>
      </c>
      <c r="J8" s="100">
        <f t="shared" si="0"/>
        <v>0.3</v>
      </c>
    </row>
    <row r="9" spans="1:15">
      <c r="A9" s="96">
        <v>5</v>
      </c>
      <c r="B9" s="70" t="s">
        <v>36</v>
      </c>
      <c r="C9" s="70"/>
      <c r="D9" s="84" t="s">
        <v>14</v>
      </c>
      <c r="E9" s="97">
        <f t="shared" si="1"/>
        <v>0</v>
      </c>
      <c r="F9" s="98">
        <f>IF(COUNTIFS('Ambiguity Defects'!$B$3:$B$200,RAI!$B9,'Ambiguity Defects'!$G$3:$G$200,RAI!F$4)=0,0,1)</f>
        <v>0</v>
      </c>
      <c r="G9" s="98">
        <f>IF(COUNTIFS('Ambiguity Defects'!$B$3:$B$200,RAI!$B9,'Ambiguity Defects'!$G$3:$G$200,RAI!G$4)=0,0,1)</f>
        <v>0</v>
      </c>
      <c r="H9" s="98">
        <f>IF(COUNTIFS('Ambiguity Defects'!$B$3:$B$200,RAI!$B9,'Ambiguity Defects'!$G$3:$G$200,RAI!H$4)=0,0,1)</f>
        <v>1</v>
      </c>
      <c r="I9" s="98">
        <f>IF(COUNTIFS('Ambiguity Defects'!$B$3:$B$200,RAI!$B9,'Ambiguity Defects'!$G$3:$G$200,RAI!I$4)=0,0,1)</f>
        <v>0</v>
      </c>
      <c r="J9" s="100">
        <f t="shared" si="0"/>
        <v>0.3</v>
      </c>
    </row>
    <row r="10" spans="1:15" ht="52">
      <c r="A10" s="96">
        <v>6</v>
      </c>
      <c r="B10" s="70" t="s">
        <v>37</v>
      </c>
      <c r="C10" s="70"/>
      <c r="D10" s="84" t="s">
        <v>16</v>
      </c>
      <c r="E10" s="97">
        <f t="shared" si="1"/>
        <v>0.5</v>
      </c>
      <c r="F10" s="98">
        <f>IF(COUNTIFS('Ambiguity Defects'!$B$3:$B$200,RAI!$B10,'Ambiguity Defects'!$G$3:$G$200,RAI!F$4)=0,0,1)</f>
        <v>1</v>
      </c>
      <c r="G10" s="98">
        <f>IF(COUNTIFS('Ambiguity Defects'!$B$3:$B$200,RAI!$B10,'Ambiguity Defects'!$G$3:$G$200,RAI!G$4)=0,0,1)</f>
        <v>0</v>
      </c>
      <c r="H10" s="98">
        <f>IF(COUNTIFS('Ambiguity Defects'!$B$3:$B$200,RAI!$B10,'Ambiguity Defects'!$G$3:$G$200,RAI!H$4)=0,0,1)</f>
        <v>1</v>
      </c>
      <c r="I10" s="98">
        <f>IF(COUNTIFS('Ambiguity Defects'!$B$3:$B$200,RAI!$B10,'Ambiguity Defects'!$G$3:$G$200,RAI!I$4)=0,0,1)</f>
        <v>1</v>
      </c>
      <c r="J10" s="100">
        <f t="shared" si="0"/>
        <v>0.85</v>
      </c>
    </row>
    <row r="11" spans="1:15" ht="26">
      <c r="A11" s="96">
        <v>7</v>
      </c>
      <c r="B11" s="70" t="s">
        <v>38</v>
      </c>
      <c r="C11" s="70"/>
      <c r="D11" s="84" t="s">
        <v>16</v>
      </c>
      <c r="E11" s="97">
        <f t="shared" si="1"/>
        <v>0.5</v>
      </c>
      <c r="F11" s="98">
        <f>IF(COUNTIFS('Ambiguity Defects'!$B$3:$B$200,RAI!$B11,'Ambiguity Defects'!$G$3:$G$200,RAI!F$4)=0,0,1)</f>
        <v>0</v>
      </c>
      <c r="G11" s="98">
        <f>IF(COUNTIFS('Ambiguity Defects'!$B$3:$B$200,RAI!$B11,'Ambiguity Defects'!$G$3:$G$200,RAI!G$4)=0,0,1)</f>
        <v>1</v>
      </c>
      <c r="H11" s="98">
        <f>IF(COUNTIFS('Ambiguity Defects'!$B$3:$B$200,RAI!$B11,'Ambiguity Defects'!$G$3:$G$200,RAI!H$4)=0,0,1)</f>
        <v>0</v>
      </c>
      <c r="I11" s="98">
        <f>IF(COUNTIFS('Ambiguity Defects'!$B$3:$B$200,RAI!$B11,'Ambiguity Defects'!$G$3:$G$200,RAI!I$4)=0,0,1)</f>
        <v>1</v>
      </c>
      <c r="J11" s="100">
        <f t="shared" si="0"/>
        <v>0.4</v>
      </c>
    </row>
    <row r="12" spans="1:15" ht="26">
      <c r="A12" s="96">
        <v>8</v>
      </c>
      <c r="B12" s="70" t="s">
        <v>38</v>
      </c>
      <c r="C12" s="70"/>
      <c r="D12" s="84" t="s">
        <v>15</v>
      </c>
      <c r="E12" s="97">
        <f t="shared" si="1"/>
        <v>1</v>
      </c>
      <c r="F12" s="98">
        <f>IF(COUNTIFS('Ambiguity Defects'!$B$3:$B$200,RAI!$B12,'Ambiguity Defects'!$G$3:$G$200,RAI!F$4)=0,0,1)</f>
        <v>0</v>
      </c>
      <c r="G12" s="98">
        <f>IF(COUNTIFS('Ambiguity Defects'!$B$3:$B$200,RAI!$B12,'Ambiguity Defects'!$G$3:$G$200,RAI!G$4)=0,0,1)</f>
        <v>1</v>
      </c>
      <c r="H12" s="98">
        <f>IF(COUNTIFS('Ambiguity Defects'!$B$3:$B$200,RAI!$B12,'Ambiguity Defects'!$G$3:$G$200,RAI!H$4)=0,0,1)</f>
        <v>0</v>
      </c>
      <c r="I12" s="98">
        <f>IF(COUNTIFS('Ambiguity Defects'!$B$3:$B$200,RAI!$B12,'Ambiguity Defects'!$G$3:$G$200,RAI!I$4)=0,0,1)</f>
        <v>1</v>
      </c>
      <c r="J12" s="100">
        <f t="shared" si="0"/>
        <v>0.4</v>
      </c>
    </row>
    <row r="13" spans="1:15" ht="52">
      <c r="A13" s="96">
        <v>9</v>
      </c>
      <c r="B13" s="70" t="s">
        <v>37</v>
      </c>
      <c r="C13" s="70"/>
      <c r="D13" s="84" t="s">
        <v>15</v>
      </c>
      <c r="E13" s="97">
        <f t="shared" si="1"/>
        <v>1</v>
      </c>
      <c r="F13" s="98">
        <f>IF(COUNTIFS('Ambiguity Defects'!$B$3:$B$200,RAI!$B13,'Ambiguity Defects'!$G$3:$G$200,RAI!F$4)=0,0,1)</f>
        <v>1</v>
      </c>
      <c r="G13" s="98">
        <f>IF(COUNTIFS('Ambiguity Defects'!$B$3:$B$200,RAI!$B13,'Ambiguity Defects'!$G$3:$G$200,RAI!G$4)=0,0,1)</f>
        <v>0</v>
      </c>
      <c r="H13" s="98">
        <f>IF(COUNTIFS('Ambiguity Defects'!$B$3:$B$200,RAI!$B13,'Ambiguity Defects'!$G$3:$G$200,RAI!H$4)=0,0,1)</f>
        <v>1</v>
      </c>
      <c r="I13" s="98">
        <f>IF(COUNTIFS('Ambiguity Defects'!$B$3:$B$200,RAI!$B13,'Ambiguity Defects'!$G$3:$G$200,RAI!I$4)=0,0,1)</f>
        <v>1</v>
      </c>
      <c r="J13" s="100">
        <f t="shared" si="0"/>
        <v>0.85</v>
      </c>
    </row>
    <row r="14" spans="1:15" ht="52">
      <c r="A14" s="96">
        <v>10</v>
      </c>
      <c r="B14" s="70" t="s">
        <v>37</v>
      </c>
      <c r="C14" s="70"/>
      <c r="D14" s="84" t="s">
        <v>16</v>
      </c>
      <c r="E14" s="97">
        <f t="shared" si="1"/>
        <v>0.5</v>
      </c>
      <c r="F14" s="98">
        <f>IF(COUNTIFS('Ambiguity Defects'!$B$3:$B$200,RAI!$B14,'Ambiguity Defects'!$G$3:$G$200,RAI!F$4)=0,0,1)</f>
        <v>1</v>
      </c>
      <c r="G14" s="98">
        <f>IF(COUNTIFS('Ambiguity Defects'!$B$3:$B$200,RAI!$B14,'Ambiguity Defects'!$G$3:$G$200,RAI!G$4)=0,0,1)</f>
        <v>0</v>
      </c>
      <c r="H14" s="98">
        <f>IF(COUNTIFS('Ambiguity Defects'!$B$3:$B$200,RAI!$B14,'Ambiguity Defects'!$G$3:$G$200,RAI!H$4)=0,0,1)</f>
        <v>1</v>
      </c>
      <c r="I14" s="98">
        <f>IF(COUNTIFS('Ambiguity Defects'!$B$3:$B$200,RAI!$B14,'Ambiguity Defects'!$G$3:$G$200,RAI!I$4)=0,0,1)</f>
        <v>1</v>
      </c>
      <c r="J14" s="100">
        <f t="shared" si="0"/>
        <v>0.85</v>
      </c>
    </row>
    <row r="15" spans="1:15" ht="52">
      <c r="A15" s="96">
        <v>11</v>
      </c>
      <c r="B15" s="70" t="s">
        <v>37</v>
      </c>
      <c r="C15" s="70"/>
      <c r="D15" s="84" t="s">
        <v>17</v>
      </c>
      <c r="E15" s="97">
        <f t="shared" si="1"/>
        <v>0</v>
      </c>
      <c r="F15" s="98">
        <f>IF(COUNTIFS('Ambiguity Defects'!$B$3:$B$200,RAI!$B15,'Ambiguity Defects'!$G$3:$G$200,RAI!F$4)=0,0,1)</f>
        <v>1</v>
      </c>
      <c r="G15" s="98">
        <f>IF(COUNTIFS('Ambiguity Defects'!$B$3:$B$200,RAI!$B15,'Ambiguity Defects'!$G$3:$G$200,RAI!G$4)=0,0,1)</f>
        <v>0</v>
      </c>
      <c r="H15" s="98">
        <f>IF(COUNTIFS('Ambiguity Defects'!$B$3:$B$200,RAI!$B15,'Ambiguity Defects'!$G$3:$G$200,RAI!H$4)=0,0,1)</f>
        <v>1</v>
      </c>
      <c r="I15" s="98">
        <f>IF(COUNTIFS('Ambiguity Defects'!$B$3:$B$200,RAI!$B15,'Ambiguity Defects'!$G$3:$G$200,RAI!I$4)=0,0,1)</f>
        <v>1</v>
      </c>
      <c r="J15" s="100">
        <f t="shared" si="0"/>
        <v>0.85</v>
      </c>
    </row>
    <row r="16" spans="1:15" ht="52">
      <c r="A16" s="96">
        <v>12</v>
      </c>
      <c r="B16" s="70" t="s">
        <v>37</v>
      </c>
      <c r="C16" s="70"/>
      <c r="D16" s="84" t="s">
        <v>17</v>
      </c>
      <c r="E16" s="97">
        <f t="shared" si="1"/>
        <v>0</v>
      </c>
      <c r="F16" s="98">
        <f>IF(COUNTIFS('Ambiguity Defects'!$B$3:$B$200,RAI!$B16,'Ambiguity Defects'!$G$3:$G$200,RAI!F$4)=0,0,1)</f>
        <v>1</v>
      </c>
      <c r="G16" s="98">
        <f>IF(COUNTIFS('Ambiguity Defects'!$B$3:$B$200,RAI!$B16,'Ambiguity Defects'!$G$3:$G$200,RAI!G$4)=0,0,1)</f>
        <v>0</v>
      </c>
      <c r="H16" s="98">
        <f>IF(COUNTIFS('Ambiguity Defects'!$B$3:$B$200,RAI!$B16,'Ambiguity Defects'!$G$3:$G$200,RAI!H$4)=0,0,1)</f>
        <v>1</v>
      </c>
      <c r="I16" s="98">
        <f>IF(COUNTIFS('Ambiguity Defects'!$B$3:$B$200,RAI!$B16,'Ambiguity Defects'!$G$3:$G$200,RAI!I$4)=0,0,1)</f>
        <v>1</v>
      </c>
      <c r="J16" s="100">
        <f t="shared" si="0"/>
        <v>0.85</v>
      </c>
    </row>
    <row r="17" spans="1:10" ht="52">
      <c r="A17" s="96">
        <v>13</v>
      </c>
      <c r="B17" s="70" t="s">
        <v>37</v>
      </c>
      <c r="C17" s="70"/>
      <c r="D17" s="84" t="s">
        <v>16</v>
      </c>
      <c r="E17" s="97">
        <f t="shared" si="1"/>
        <v>0.5</v>
      </c>
      <c r="F17" s="98">
        <f>IF(COUNTIFS('Ambiguity Defects'!$B$3:$B$200,RAI!$B17,'Ambiguity Defects'!$G$3:$G$200,RAI!F$4)=0,0,1)</f>
        <v>1</v>
      </c>
      <c r="G17" s="98">
        <f>IF(COUNTIFS('Ambiguity Defects'!$B$3:$B$200,RAI!$B17,'Ambiguity Defects'!$G$3:$G$200,RAI!G$4)=0,0,1)</f>
        <v>0</v>
      </c>
      <c r="H17" s="98">
        <f>IF(COUNTIFS('Ambiguity Defects'!$B$3:$B$200,RAI!$B17,'Ambiguity Defects'!$G$3:$G$200,RAI!H$4)=0,0,1)</f>
        <v>1</v>
      </c>
      <c r="I17" s="98">
        <f>IF(COUNTIFS('Ambiguity Defects'!$B$3:$B$200,RAI!$B17,'Ambiguity Defects'!$G$3:$G$200,RAI!I$4)=0,0,1)</f>
        <v>1</v>
      </c>
      <c r="J17" s="100">
        <f t="shared" si="0"/>
        <v>0.85</v>
      </c>
    </row>
    <row r="18" spans="1:10">
      <c r="A18" s="96"/>
      <c r="B18" s="96"/>
      <c r="C18" s="101"/>
      <c r="D18" s="97"/>
      <c r="E18" s="97"/>
      <c r="F18" s="98"/>
      <c r="G18" s="98"/>
      <c r="H18" s="98"/>
      <c r="I18" s="98"/>
      <c r="J18" s="100"/>
    </row>
    <row r="19" spans="1:10">
      <c r="A19" s="96"/>
      <c r="B19" s="96"/>
      <c r="C19" s="101"/>
      <c r="D19" s="97"/>
      <c r="E19" s="97"/>
      <c r="F19" s="98"/>
      <c r="G19" s="98"/>
      <c r="H19" s="98"/>
      <c r="I19" s="98"/>
      <c r="J19" s="100"/>
    </row>
    <row r="20" spans="1:10">
      <c r="A20" s="96"/>
      <c r="B20" s="96"/>
      <c r="C20" s="101"/>
      <c r="D20" s="97"/>
      <c r="E20" s="97"/>
      <c r="F20" s="98"/>
      <c r="G20" s="98"/>
      <c r="H20" s="98"/>
      <c r="I20" s="98"/>
      <c r="J20" s="100"/>
    </row>
    <row r="21" spans="1:10">
      <c r="A21" s="96"/>
      <c r="B21" s="96"/>
      <c r="C21" s="101"/>
      <c r="D21" s="97"/>
      <c r="E21" s="97"/>
      <c r="F21" s="98"/>
      <c r="G21" s="98"/>
      <c r="H21" s="98"/>
      <c r="I21" s="98"/>
      <c r="J21" s="100"/>
    </row>
    <row r="22" spans="1:10">
      <c r="A22" s="96"/>
      <c r="B22" s="96"/>
      <c r="C22" s="101"/>
      <c r="D22" s="97"/>
      <c r="E22" s="97"/>
      <c r="F22" s="98"/>
      <c r="G22" s="98"/>
      <c r="H22" s="98"/>
      <c r="I22" s="98"/>
      <c r="J22" s="100"/>
    </row>
    <row r="23" spans="1:10">
      <c r="A23" s="96"/>
      <c r="B23" s="96"/>
      <c r="C23" s="101"/>
      <c r="D23" s="97"/>
      <c r="E23" s="97"/>
      <c r="F23" s="98"/>
      <c r="G23" s="98"/>
      <c r="H23" s="98"/>
      <c r="I23" s="98"/>
      <c r="J23" s="100"/>
    </row>
    <row r="24" spans="1:10">
      <c r="A24" s="96"/>
      <c r="B24" s="96"/>
      <c r="C24" s="101"/>
      <c r="D24" s="97"/>
      <c r="E24" s="97"/>
      <c r="F24" s="98"/>
      <c r="G24" s="98"/>
      <c r="H24" s="98"/>
      <c r="I24" s="98"/>
      <c r="J24" s="100"/>
    </row>
    <row r="25" spans="1:10">
      <c r="A25" s="96"/>
      <c r="B25" s="96"/>
      <c r="C25" s="101"/>
      <c r="D25" s="97"/>
      <c r="E25" s="97"/>
      <c r="F25" s="98"/>
      <c r="G25" s="98"/>
      <c r="H25" s="98"/>
      <c r="I25" s="98"/>
      <c r="J25" s="100"/>
    </row>
    <row r="26" spans="1:10">
      <c r="A26" s="96"/>
      <c r="B26" s="96"/>
      <c r="C26" s="101"/>
      <c r="D26" s="97"/>
      <c r="E26" s="97"/>
      <c r="F26" s="98"/>
      <c r="G26" s="98"/>
      <c r="H26" s="98"/>
      <c r="I26" s="98"/>
      <c r="J26" s="100"/>
    </row>
    <row r="27" spans="1:10">
      <c r="A27" s="96"/>
      <c r="B27" s="96"/>
      <c r="C27" s="101"/>
      <c r="D27" s="97"/>
      <c r="E27" s="97"/>
      <c r="F27" s="98"/>
      <c r="G27" s="98"/>
      <c r="H27" s="98"/>
      <c r="I27" s="98"/>
      <c r="J27" s="100"/>
    </row>
    <row r="28" spans="1:10">
      <c r="A28" s="96"/>
      <c r="B28" s="96"/>
      <c r="C28" s="101"/>
      <c r="D28" s="97"/>
      <c r="E28" s="97"/>
      <c r="F28" s="98"/>
      <c r="G28" s="98"/>
      <c r="H28" s="98"/>
      <c r="I28" s="98"/>
      <c r="J28" s="100"/>
    </row>
    <row r="29" spans="1:10">
      <c r="A29" s="96"/>
      <c r="B29" s="96"/>
      <c r="C29" s="101"/>
      <c r="D29" s="97"/>
      <c r="E29" s="97"/>
      <c r="F29" s="98"/>
      <c r="G29" s="98"/>
      <c r="H29" s="98"/>
      <c r="I29" s="98"/>
      <c r="J29" s="100"/>
    </row>
    <row r="30" spans="1:10">
      <c r="A30" s="96"/>
      <c r="B30" s="96"/>
      <c r="C30" s="101"/>
      <c r="D30" s="97"/>
      <c r="E30" s="97"/>
      <c r="F30" s="98"/>
      <c r="G30" s="98"/>
      <c r="H30" s="98"/>
      <c r="I30" s="98"/>
      <c r="J30" s="100"/>
    </row>
    <row r="31" spans="1:10" ht="16.149999999999999" customHeight="1">
      <c r="A31" s="96"/>
      <c r="B31" s="96"/>
      <c r="C31" s="101"/>
      <c r="D31" s="97"/>
      <c r="E31" s="97"/>
      <c r="F31" s="98"/>
      <c r="G31" s="98"/>
      <c r="H31" s="98"/>
      <c r="I31" s="98"/>
      <c r="J31" s="100"/>
    </row>
    <row r="32" spans="1:10">
      <c r="A32" s="96"/>
      <c r="B32" s="96"/>
      <c r="C32" s="101"/>
      <c r="D32" s="97"/>
      <c r="E32" s="97"/>
      <c r="F32" s="98"/>
      <c r="G32" s="98"/>
      <c r="H32" s="98"/>
      <c r="I32" s="98"/>
      <c r="J32" s="100"/>
    </row>
    <row r="33" spans="1:10" ht="16.149999999999999" customHeight="1">
      <c r="A33" s="96"/>
      <c r="B33" s="96"/>
      <c r="C33" s="101"/>
      <c r="D33" s="97"/>
      <c r="E33" s="97"/>
      <c r="F33" s="98"/>
      <c r="G33" s="98"/>
      <c r="H33" s="98"/>
      <c r="I33" s="98"/>
      <c r="J33" s="100"/>
    </row>
    <row r="34" spans="1:10">
      <c r="A34" s="96"/>
      <c r="B34" s="96"/>
      <c r="C34" s="101"/>
      <c r="D34" s="97"/>
      <c r="E34" s="97"/>
      <c r="F34" s="98"/>
      <c r="G34" s="98"/>
      <c r="H34" s="98"/>
      <c r="I34" s="98"/>
      <c r="J34" s="100"/>
    </row>
    <row r="35" spans="1:10">
      <c r="A35" s="96"/>
      <c r="B35" s="96"/>
      <c r="C35" s="101"/>
      <c r="D35" s="97"/>
      <c r="E35" s="97"/>
      <c r="F35" s="98"/>
      <c r="G35" s="98"/>
      <c r="H35" s="98"/>
      <c r="I35" s="98"/>
      <c r="J35" s="100"/>
    </row>
    <row r="36" spans="1:10">
      <c r="A36" s="96"/>
      <c r="B36" s="96"/>
      <c r="C36" s="101"/>
      <c r="D36" s="97"/>
      <c r="E36" s="97"/>
      <c r="F36" s="98"/>
      <c r="G36" s="98"/>
      <c r="H36" s="98"/>
      <c r="I36" s="98"/>
      <c r="J36" s="100"/>
    </row>
    <row r="37" spans="1:10">
      <c r="A37" s="96"/>
      <c r="B37" s="96"/>
      <c r="C37" s="101"/>
      <c r="D37" s="97"/>
      <c r="E37" s="97"/>
      <c r="F37" s="98"/>
      <c r="G37" s="98"/>
      <c r="H37" s="98"/>
      <c r="I37" s="98"/>
      <c r="J37" s="100"/>
    </row>
  </sheetData>
  <mergeCells count="7">
    <mergeCell ref="L3:N5"/>
    <mergeCell ref="B2:F2"/>
    <mergeCell ref="A3:A4"/>
    <mergeCell ref="J3:J4"/>
    <mergeCell ref="B3:B4"/>
    <mergeCell ref="C3:D3"/>
    <mergeCell ref="G2:J2"/>
  </mergeCells>
  <conditionalFormatting sqref="F5:I37">
    <cfRule type="cellIs" dxfId="9" priority="5" operator="equal">
      <formula>0</formula>
    </cfRule>
    <cfRule type="cellIs" dxfId="8" priority="6" operator="equal">
      <formula>1</formula>
    </cfRule>
  </conditionalFormatting>
  <conditionalFormatting sqref="G2">
    <cfRule type="cellIs" dxfId="7" priority="7" operator="lessThanOrEqual">
      <formula>0.1</formula>
    </cfRule>
    <cfRule type="cellIs" dxfId="6" priority="8" operator="between">
      <formula>0.1</formula>
      <formula>0.3</formula>
    </cfRule>
    <cfRule type="cellIs" dxfId="5" priority="9" operator="between">
      <formula>0.3</formula>
      <formula>0.5</formula>
    </cfRule>
    <cfRule type="cellIs" dxfId="4" priority="10" operator="between">
      <formula>0.5</formula>
      <formula>1</formula>
    </cfRule>
  </conditionalFormatting>
  <conditionalFormatting sqref="J5:J37">
    <cfRule type="cellIs" dxfId="3" priority="1" operator="between">
      <formula>0</formula>
      <formula>0.1</formula>
    </cfRule>
    <cfRule type="cellIs" dxfId="2" priority="2" operator="between">
      <formula>0.1</formula>
      <formula>0.3</formula>
    </cfRule>
    <cfRule type="cellIs" dxfId="1" priority="3" operator="between">
      <formula>0.3</formula>
      <formula>0.5</formula>
    </cfRule>
    <cfRule type="cellIs" dxfId="0" priority="4" operator="between">
      <formula>0.5</formula>
      <formula>1</formula>
    </cfRule>
  </conditionalFormatting>
  <dataValidations count="1">
    <dataValidation type="list" allowBlank="1" showInputMessage="1" showErrorMessage="1" sqref="D18:D37" xr:uid="{00000000-0002-0000-0100-000000000000}">
      <formula1>"High, Medium, Low"</formula1>
    </dataValidation>
  </dataValidations>
  <pageMargins left="0.7" right="0.7" top="0.75" bottom="0.75" header="0.3" footer="0.3"/>
  <pageSetup orientation="portrait" r:id="rId1"/>
  <drawing r:id="rId2"/>
  <legacyDrawing r:id="rId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ErrorMessage="1" xr:uid="{203B3FC3-6B93-4102-AEEA-CFBD53AE7F43}">
          <x14:formula1>
            <xm:f>Guidelines!$A$27:$A$30</xm:f>
          </x14:formula1>
          <xm:sqref>D5:D17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X39"/>
  <sheetViews>
    <sheetView zoomScale="80" zoomScaleNormal="80" zoomScalePageLayoutView="150" workbookViewId="0">
      <pane xSplit="5" ySplit="2" topLeftCell="G8" activePane="bottomRight" state="frozen"/>
      <selection pane="topRight" activeCell="G1" sqref="G1"/>
      <selection pane="bottomLeft" activeCell="A3" sqref="A3"/>
      <selection pane="bottomRight" activeCell="L3" sqref="L3:L8"/>
    </sheetView>
  </sheetViews>
  <sheetFormatPr defaultColWidth="8.7265625" defaultRowHeight="12"/>
  <cols>
    <col min="1" max="1" width="7.7265625" style="3" bestFit="1" customWidth="1"/>
    <col min="2" max="2" width="14.81640625" style="3" bestFit="1" customWidth="1"/>
    <col min="3" max="3" width="19" style="3" customWidth="1"/>
    <col min="4" max="4" width="16.54296875" style="3" hidden="1" customWidth="1"/>
    <col min="5" max="5" width="57.7265625" style="5" customWidth="1"/>
    <col min="6" max="6" width="13.7265625" style="6" hidden="1" customWidth="1"/>
    <col min="7" max="7" width="14.54296875" style="4" customWidth="1"/>
    <col min="8" max="8" width="9.81640625" style="6" customWidth="1"/>
    <col min="9" max="9" width="10" style="7" customWidth="1"/>
    <col min="10" max="10" width="11.453125" style="6" bestFit="1" customWidth="1"/>
    <col min="11" max="11" width="16.1796875" style="3" hidden="1" customWidth="1"/>
    <col min="12" max="12" width="15.7265625" style="5" customWidth="1"/>
    <col min="13" max="13" width="14.26953125" style="4" customWidth="1"/>
    <col min="14" max="14" width="20.453125" style="4" customWidth="1"/>
    <col min="15" max="16384" width="8.7265625" style="3"/>
  </cols>
  <sheetData>
    <row r="1" spans="1:102" ht="40.5" customHeight="1">
      <c r="A1" s="123" t="s">
        <v>39</v>
      </c>
      <c r="B1" s="124"/>
      <c r="C1" s="124"/>
      <c r="D1" s="124"/>
      <c r="E1" s="124"/>
      <c r="F1" s="26"/>
      <c r="G1" s="26"/>
      <c r="H1" s="26"/>
      <c r="I1" s="26"/>
      <c r="J1" s="26"/>
      <c r="K1" s="26"/>
      <c r="L1" s="26"/>
      <c r="M1" s="26"/>
      <c r="N1" s="26"/>
    </row>
    <row r="2" spans="1:102" s="25" customFormat="1" ht="32.25" customHeight="1">
      <c r="A2" s="102" t="s">
        <v>40</v>
      </c>
      <c r="B2" s="102" t="s">
        <v>26</v>
      </c>
      <c r="C2" s="102" t="s">
        <v>41</v>
      </c>
      <c r="D2" s="102" t="s">
        <v>42</v>
      </c>
      <c r="E2" s="102" t="s">
        <v>43</v>
      </c>
      <c r="F2" s="102" t="s">
        <v>44</v>
      </c>
      <c r="G2" s="102" t="s">
        <v>45</v>
      </c>
      <c r="H2" s="102" t="s">
        <v>46</v>
      </c>
      <c r="I2" s="102" t="s">
        <v>47</v>
      </c>
      <c r="J2" s="102" t="s">
        <v>48</v>
      </c>
      <c r="K2" s="102" t="s">
        <v>49</v>
      </c>
      <c r="L2" s="102" t="s">
        <v>50</v>
      </c>
      <c r="M2" s="102" t="s">
        <v>51</v>
      </c>
      <c r="N2" s="102" t="s">
        <v>52</v>
      </c>
      <c r="O2" s="24"/>
      <c r="P2" s="24"/>
      <c r="Q2" s="24"/>
      <c r="R2" s="24"/>
      <c r="S2" s="24"/>
      <c r="T2" s="24"/>
      <c r="U2" s="24"/>
      <c r="V2" s="24"/>
      <c r="W2" s="24"/>
      <c r="X2" s="24"/>
      <c r="Y2" s="24"/>
      <c r="Z2" s="24"/>
      <c r="AA2" s="24"/>
      <c r="AB2" s="24"/>
      <c r="AC2" s="24"/>
      <c r="AD2" s="24"/>
      <c r="AE2" s="24"/>
      <c r="AF2" s="24"/>
      <c r="AG2" s="24"/>
      <c r="AH2" s="24"/>
      <c r="AI2" s="24"/>
      <c r="AJ2" s="24"/>
      <c r="AK2" s="24"/>
      <c r="AL2" s="24"/>
      <c r="AM2" s="24"/>
      <c r="AN2" s="24"/>
      <c r="AO2" s="24"/>
      <c r="AP2" s="24"/>
      <c r="AQ2" s="24"/>
      <c r="AR2" s="24"/>
      <c r="AS2" s="24"/>
      <c r="AT2" s="24"/>
      <c r="AU2" s="24"/>
      <c r="AV2" s="24"/>
      <c r="AW2" s="24"/>
      <c r="AX2" s="24"/>
      <c r="AY2" s="24"/>
      <c r="AZ2" s="24"/>
      <c r="BA2" s="24"/>
      <c r="BB2" s="24"/>
      <c r="BC2" s="24"/>
      <c r="BD2" s="24"/>
      <c r="BE2" s="24"/>
      <c r="BF2" s="24"/>
      <c r="BG2" s="24"/>
      <c r="BH2" s="24"/>
      <c r="BI2" s="24"/>
      <c r="BJ2" s="24"/>
      <c r="BK2" s="24"/>
      <c r="BL2" s="24"/>
      <c r="BM2" s="24"/>
      <c r="BN2" s="24"/>
      <c r="BO2" s="24"/>
      <c r="BP2" s="24"/>
      <c r="BQ2" s="24"/>
      <c r="BR2" s="24"/>
      <c r="BS2" s="24"/>
      <c r="BT2" s="24"/>
      <c r="BU2" s="24"/>
      <c r="BV2" s="24"/>
      <c r="BW2" s="24"/>
      <c r="BX2" s="24"/>
      <c r="BY2" s="24"/>
      <c r="BZ2" s="24"/>
      <c r="CA2" s="24"/>
      <c r="CB2" s="24"/>
      <c r="CC2" s="24"/>
      <c r="CD2" s="24"/>
      <c r="CE2" s="24"/>
      <c r="CF2" s="24"/>
      <c r="CG2" s="24"/>
      <c r="CH2" s="24"/>
      <c r="CI2" s="24"/>
      <c r="CJ2" s="24"/>
      <c r="CK2" s="24"/>
      <c r="CL2" s="24"/>
      <c r="CM2" s="24"/>
      <c r="CN2" s="24"/>
      <c r="CO2" s="24"/>
      <c r="CP2" s="24"/>
      <c r="CQ2" s="24"/>
      <c r="CR2" s="24"/>
      <c r="CS2" s="24"/>
      <c r="CT2" s="24"/>
      <c r="CU2" s="24"/>
      <c r="CV2" s="24"/>
      <c r="CW2" s="24"/>
      <c r="CX2" s="24"/>
    </row>
    <row r="3" spans="1:102" s="27" customFormat="1" ht="26">
      <c r="A3" s="69" t="s">
        <v>53</v>
      </c>
      <c r="B3" s="70" t="s">
        <v>33</v>
      </c>
      <c r="C3" s="70"/>
      <c r="D3" s="69"/>
      <c r="E3" s="70"/>
      <c r="F3" s="84" t="s">
        <v>18</v>
      </c>
      <c r="G3" s="84" t="s">
        <v>8</v>
      </c>
      <c r="H3" s="84" t="s">
        <v>15</v>
      </c>
      <c r="I3" s="85" t="s">
        <v>6</v>
      </c>
      <c r="J3" s="74">
        <v>43977</v>
      </c>
      <c r="K3" s="103"/>
      <c r="L3" s="77"/>
      <c r="M3" s="75">
        <v>43980</v>
      </c>
      <c r="N3" s="72"/>
      <c r="O3" s="5"/>
    </row>
    <row r="4" spans="1:102" s="27" customFormat="1" ht="26">
      <c r="A4" s="69" t="s">
        <v>54</v>
      </c>
      <c r="B4" s="70" t="s">
        <v>33</v>
      </c>
      <c r="C4" s="70"/>
      <c r="D4" s="69"/>
      <c r="E4" s="70"/>
      <c r="F4" s="84" t="s">
        <v>19</v>
      </c>
      <c r="G4" s="84" t="s">
        <v>8</v>
      </c>
      <c r="H4" s="84" t="s">
        <v>15</v>
      </c>
      <c r="I4" s="85" t="s">
        <v>6</v>
      </c>
      <c r="J4" s="74">
        <v>43977</v>
      </c>
      <c r="K4" s="103"/>
      <c r="L4" s="78"/>
      <c r="M4" s="75">
        <v>43980</v>
      </c>
      <c r="N4" s="72"/>
      <c r="O4" s="5"/>
    </row>
    <row r="5" spans="1:102" s="5" customFormat="1" ht="26">
      <c r="A5" s="69" t="s">
        <v>56</v>
      </c>
      <c r="B5" s="70" t="s">
        <v>33</v>
      </c>
      <c r="C5" s="70"/>
      <c r="D5" s="69"/>
      <c r="E5" s="70"/>
      <c r="F5" s="84" t="s">
        <v>19</v>
      </c>
      <c r="G5" s="84" t="s">
        <v>11</v>
      </c>
      <c r="H5" s="84" t="s">
        <v>15</v>
      </c>
      <c r="I5" s="85" t="s">
        <v>4</v>
      </c>
      <c r="J5" s="74">
        <v>43977</v>
      </c>
      <c r="K5" s="103"/>
      <c r="L5" s="78"/>
      <c r="M5" s="75"/>
      <c r="N5" s="72"/>
    </row>
    <row r="6" spans="1:102" s="5" customFormat="1" ht="14.5">
      <c r="A6" s="69" t="s">
        <v>57</v>
      </c>
      <c r="B6" s="70" t="s">
        <v>35</v>
      </c>
      <c r="C6" s="70"/>
      <c r="D6" s="69"/>
      <c r="E6" s="70"/>
      <c r="F6" s="84" t="s">
        <v>19</v>
      </c>
      <c r="G6" s="84" t="s">
        <v>8</v>
      </c>
      <c r="H6" s="84" t="s">
        <v>16</v>
      </c>
      <c r="I6" s="85" t="s">
        <v>4</v>
      </c>
      <c r="J6" s="75">
        <v>43978</v>
      </c>
      <c r="K6" s="103"/>
      <c r="L6" s="78"/>
      <c r="M6" s="79"/>
      <c r="N6" s="72"/>
    </row>
    <row r="7" spans="1:102" s="5" customFormat="1" ht="14.5">
      <c r="A7" s="69" t="s">
        <v>58</v>
      </c>
      <c r="B7" s="70" t="s">
        <v>36</v>
      </c>
      <c r="C7" s="70"/>
      <c r="D7" s="69"/>
      <c r="E7" s="70"/>
      <c r="F7" s="84" t="s">
        <v>19</v>
      </c>
      <c r="G7" s="84" t="s">
        <v>9</v>
      </c>
      <c r="H7" s="84" t="s">
        <v>14</v>
      </c>
      <c r="I7" s="85" t="s">
        <v>4</v>
      </c>
      <c r="J7" s="74">
        <v>43977</v>
      </c>
      <c r="K7" s="103"/>
      <c r="L7" s="78"/>
      <c r="M7" s="75"/>
      <c r="N7" s="72"/>
    </row>
    <row r="8" spans="1:102" s="27" customFormat="1" ht="39">
      <c r="A8" s="69" t="s">
        <v>59</v>
      </c>
      <c r="B8" s="70" t="s">
        <v>37</v>
      </c>
      <c r="C8" s="70"/>
      <c r="D8" s="69"/>
      <c r="E8" s="70"/>
      <c r="F8" s="84" t="s">
        <v>19</v>
      </c>
      <c r="G8" s="84" t="s">
        <v>9</v>
      </c>
      <c r="H8" s="84" t="s">
        <v>16</v>
      </c>
      <c r="I8" s="85" t="s">
        <v>4</v>
      </c>
      <c r="J8" s="74">
        <v>43977</v>
      </c>
      <c r="K8" s="103"/>
      <c r="L8" s="78"/>
      <c r="M8" s="75"/>
      <c r="N8" s="72"/>
      <c r="O8" s="5"/>
    </row>
    <row r="9" spans="1:102" s="27" customFormat="1" ht="26">
      <c r="A9" s="69" t="s">
        <v>60</v>
      </c>
      <c r="B9" s="70" t="s">
        <v>38</v>
      </c>
      <c r="C9" s="70"/>
      <c r="D9" s="69"/>
      <c r="E9" s="71"/>
      <c r="F9" s="84" t="s">
        <v>18</v>
      </c>
      <c r="G9" s="84" t="s">
        <v>11</v>
      </c>
      <c r="H9" s="84" t="s">
        <v>16</v>
      </c>
      <c r="I9" s="85" t="s">
        <v>4</v>
      </c>
      <c r="J9" s="74">
        <v>43977</v>
      </c>
      <c r="K9" s="103"/>
      <c r="L9" s="78"/>
      <c r="M9" s="75"/>
      <c r="N9" s="72"/>
    </row>
    <row r="10" spans="1:102" s="27" customFormat="1" ht="26">
      <c r="A10" s="69" t="s">
        <v>61</v>
      </c>
      <c r="B10" s="70" t="s">
        <v>38</v>
      </c>
      <c r="C10" s="70"/>
      <c r="D10" s="72"/>
      <c r="E10" s="73"/>
      <c r="F10" s="84" t="s">
        <v>18</v>
      </c>
      <c r="G10" s="84" t="s">
        <v>10</v>
      </c>
      <c r="H10" s="84" t="s">
        <v>15</v>
      </c>
      <c r="I10" s="85" t="s">
        <v>4</v>
      </c>
      <c r="J10" s="74">
        <v>43977</v>
      </c>
      <c r="K10" s="103"/>
      <c r="L10" s="78"/>
      <c r="M10" s="75"/>
      <c r="N10" s="72"/>
    </row>
    <row r="11" spans="1:102" s="27" customFormat="1" ht="39">
      <c r="A11" s="69" t="s">
        <v>62</v>
      </c>
      <c r="B11" s="70" t="s">
        <v>37</v>
      </c>
      <c r="C11" s="70"/>
      <c r="D11" s="72"/>
      <c r="E11" s="73"/>
      <c r="F11" s="84" t="s">
        <v>20</v>
      </c>
      <c r="G11" s="84" t="s">
        <v>8</v>
      </c>
      <c r="H11" s="84" t="s">
        <v>15</v>
      </c>
      <c r="I11" s="85" t="s">
        <v>4</v>
      </c>
      <c r="J11" s="74">
        <v>43977</v>
      </c>
      <c r="K11" s="103"/>
      <c r="L11" s="78"/>
      <c r="M11" s="75"/>
      <c r="N11" s="72"/>
    </row>
    <row r="12" spans="1:102" s="29" customFormat="1" ht="39">
      <c r="A12" s="69" t="s">
        <v>63</v>
      </c>
      <c r="B12" s="70" t="s">
        <v>37</v>
      </c>
      <c r="C12" s="70"/>
      <c r="D12" s="72"/>
      <c r="E12" s="73"/>
      <c r="F12" s="84" t="s">
        <v>20</v>
      </c>
      <c r="G12" s="84" t="s">
        <v>8</v>
      </c>
      <c r="H12" s="84" t="s">
        <v>16</v>
      </c>
      <c r="I12" s="85" t="s">
        <v>4</v>
      </c>
      <c r="J12" s="74">
        <v>43977</v>
      </c>
      <c r="K12" s="103"/>
      <c r="L12" s="78"/>
      <c r="M12" s="75"/>
      <c r="N12" s="72"/>
      <c r="O12" s="28"/>
      <c r="P12" s="28"/>
    </row>
    <row r="13" spans="1:102" s="29" customFormat="1" ht="39">
      <c r="A13" s="69" t="s">
        <v>64</v>
      </c>
      <c r="B13" s="70" t="s">
        <v>37</v>
      </c>
      <c r="C13" s="70"/>
      <c r="D13" s="72"/>
      <c r="E13" s="73"/>
      <c r="F13" s="84" t="s">
        <v>20</v>
      </c>
      <c r="G13" s="84" t="s">
        <v>11</v>
      </c>
      <c r="H13" s="84" t="s">
        <v>17</v>
      </c>
      <c r="I13" s="85" t="s">
        <v>4</v>
      </c>
      <c r="J13" s="74">
        <v>43977</v>
      </c>
      <c r="K13" s="103"/>
      <c r="L13" s="78"/>
      <c r="M13" s="75"/>
      <c r="N13" s="72"/>
      <c r="O13" s="28"/>
      <c r="P13" s="28"/>
    </row>
    <row r="14" spans="1:102" s="29" customFormat="1" ht="39">
      <c r="A14" s="69" t="s">
        <v>65</v>
      </c>
      <c r="B14" s="70" t="s">
        <v>37</v>
      </c>
      <c r="C14" s="70"/>
      <c r="D14" s="72"/>
      <c r="E14" s="73"/>
      <c r="F14" s="84" t="s">
        <v>22</v>
      </c>
      <c r="G14" s="84" t="s">
        <v>9</v>
      </c>
      <c r="H14" s="84" t="s">
        <v>17</v>
      </c>
      <c r="I14" s="85" t="s">
        <v>4</v>
      </c>
      <c r="J14" s="74">
        <v>43977</v>
      </c>
      <c r="K14" s="103"/>
      <c r="L14" s="78"/>
      <c r="M14" s="75"/>
      <c r="N14" s="72"/>
      <c r="O14" s="28"/>
      <c r="P14" s="28"/>
    </row>
    <row r="15" spans="1:102" s="29" customFormat="1" ht="39">
      <c r="A15" s="69" t="s">
        <v>66</v>
      </c>
      <c r="B15" s="70" t="s">
        <v>37</v>
      </c>
      <c r="C15" s="70"/>
      <c r="D15" s="72"/>
      <c r="E15" s="73"/>
      <c r="F15" s="84" t="s">
        <v>21</v>
      </c>
      <c r="G15" s="84" t="s">
        <v>9</v>
      </c>
      <c r="H15" s="84" t="s">
        <v>16</v>
      </c>
      <c r="I15" s="85" t="s">
        <v>4</v>
      </c>
      <c r="J15" s="74">
        <v>43977</v>
      </c>
      <c r="K15" s="103"/>
      <c r="L15" s="78"/>
      <c r="M15" s="75"/>
      <c r="N15" s="72"/>
      <c r="O15" s="28"/>
      <c r="P15" s="28"/>
    </row>
    <row r="16" spans="1:102" s="29" customFormat="1" ht="14.5">
      <c r="A16" s="84"/>
      <c r="B16" s="84"/>
      <c r="C16" s="86"/>
      <c r="D16" s="86"/>
      <c r="E16" s="86"/>
      <c r="F16" s="84"/>
      <c r="G16" s="84"/>
      <c r="H16" s="84"/>
      <c r="I16" s="85"/>
      <c r="J16" s="76"/>
      <c r="K16" s="103"/>
      <c r="L16" s="78"/>
      <c r="M16" s="75"/>
      <c r="N16" s="72"/>
      <c r="O16" s="28"/>
      <c r="P16" s="28"/>
    </row>
    <row r="17" spans="1:16" s="29" customFormat="1" ht="14.5">
      <c r="A17" s="84"/>
      <c r="B17" s="84"/>
      <c r="C17" s="86"/>
      <c r="D17" s="86"/>
      <c r="E17" s="86"/>
      <c r="F17" s="84"/>
      <c r="G17" s="84"/>
      <c r="H17" s="84"/>
      <c r="I17" s="85"/>
      <c r="J17" s="76"/>
      <c r="K17" s="103"/>
      <c r="L17" s="78"/>
      <c r="M17" s="75"/>
      <c r="N17" s="72"/>
      <c r="O17" s="28"/>
      <c r="P17" s="28"/>
    </row>
    <row r="18" spans="1:16" s="29" customFormat="1" ht="14.5">
      <c r="A18" s="84"/>
      <c r="B18" s="84"/>
      <c r="C18" s="86"/>
      <c r="D18" s="86"/>
      <c r="E18" s="86"/>
      <c r="F18" s="84"/>
      <c r="G18" s="84"/>
      <c r="H18" s="84"/>
      <c r="I18" s="85"/>
      <c r="J18" s="87"/>
      <c r="K18" s="103"/>
      <c r="L18" s="78"/>
      <c r="M18" s="75"/>
      <c r="N18" s="72"/>
      <c r="O18" s="28"/>
      <c r="P18" s="28"/>
    </row>
    <row r="19" spans="1:16" s="29" customFormat="1" ht="14.5">
      <c r="A19" s="84"/>
      <c r="B19" s="84"/>
      <c r="C19" s="86"/>
      <c r="D19" s="86"/>
      <c r="E19" s="86"/>
      <c r="F19" s="84"/>
      <c r="G19" s="84"/>
      <c r="H19" s="84"/>
      <c r="I19" s="85"/>
      <c r="J19" s="87"/>
      <c r="K19" s="103"/>
      <c r="L19" s="78"/>
      <c r="M19" s="75"/>
      <c r="N19" s="72"/>
      <c r="O19" s="28"/>
      <c r="P19" s="28"/>
    </row>
    <row r="20" spans="1:16" s="29" customFormat="1" ht="14.5">
      <c r="A20" s="84"/>
      <c r="B20" s="84"/>
      <c r="C20" s="86"/>
      <c r="D20" s="86"/>
      <c r="E20" s="86"/>
      <c r="F20" s="84"/>
      <c r="G20" s="84"/>
      <c r="H20" s="84"/>
      <c r="I20" s="85"/>
      <c r="J20" s="87"/>
      <c r="K20" s="103"/>
      <c r="L20" s="78"/>
      <c r="M20" s="75"/>
      <c r="N20" s="72"/>
      <c r="O20" s="28"/>
      <c r="P20" s="28"/>
    </row>
    <row r="21" spans="1:16" s="29" customFormat="1" ht="14.5">
      <c r="A21" s="84"/>
      <c r="B21" s="84"/>
      <c r="C21" s="86"/>
      <c r="D21" s="86"/>
      <c r="E21" s="86"/>
      <c r="F21" s="84"/>
      <c r="G21" s="84"/>
      <c r="H21" s="84"/>
      <c r="I21" s="85"/>
      <c r="J21" s="87"/>
      <c r="K21" s="103"/>
      <c r="L21" s="78"/>
      <c r="M21" s="75"/>
      <c r="N21" s="72"/>
      <c r="O21" s="28"/>
      <c r="P21" s="28"/>
    </row>
    <row r="22" spans="1:16" s="29" customFormat="1" ht="14.5">
      <c r="A22" s="84"/>
      <c r="B22" s="84"/>
      <c r="C22" s="86"/>
      <c r="D22" s="86"/>
      <c r="E22" s="86"/>
      <c r="F22" s="84"/>
      <c r="G22" s="84"/>
      <c r="H22" s="84"/>
      <c r="I22" s="85"/>
      <c r="J22" s="87"/>
      <c r="K22" s="103"/>
      <c r="L22" s="78"/>
      <c r="M22" s="75"/>
      <c r="N22" s="72"/>
      <c r="O22" s="28"/>
      <c r="P22" s="28"/>
    </row>
    <row r="23" spans="1:16" s="29" customFormat="1" ht="14.5">
      <c r="A23" s="84"/>
      <c r="B23" s="84"/>
      <c r="C23" s="86"/>
      <c r="D23" s="86"/>
      <c r="E23" s="86"/>
      <c r="F23" s="84"/>
      <c r="G23" s="84"/>
      <c r="H23" s="84"/>
      <c r="I23" s="85"/>
      <c r="J23" s="87"/>
      <c r="K23" s="103"/>
      <c r="L23" s="78"/>
      <c r="M23" s="75"/>
      <c r="N23" s="72"/>
      <c r="O23" s="28"/>
      <c r="P23" s="28"/>
    </row>
    <row r="24" spans="1:16" s="29" customFormat="1" ht="14.5">
      <c r="A24" s="84"/>
      <c r="B24" s="84"/>
      <c r="C24" s="86"/>
      <c r="D24" s="86"/>
      <c r="E24" s="86"/>
      <c r="F24" s="84"/>
      <c r="G24" s="84"/>
      <c r="H24" s="84"/>
      <c r="I24" s="85"/>
      <c r="J24" s="87"/>
      <c r="K24" s="103"/>
      <c r="L24" s="104"/>
      <c r="M24" s="87"/>
      <c r="N24" s="86"/>
      <c r="O24" s="28"/>
      <c r="P24" s="28"/>
    </row>
    <row r="25" spans="1:16" s="29" customFormat="1" ht="14.5">
      <c r="A25" s="84"/>
      <c r="B25" s="84"/>
      <c r="C25" s="86"/>
      <c r="D25" s="86"/>
      <c r="E25" s="86"/>
      <c r="F25" s="84"/>
      <c r="G25" s="84"/>
      <c r="H25" s="84"/>
      <c r="I25" s="85"/>
      <c r="J25" s="87"/>
      <c r="K25" s="103"/>
      <c r="L25" s="104"/>
      <c r="M25" s="87"/>
      <c r="N25" s="86"/>
      <c r="O25" s="28"/>
      <c r="P25" s="28"/>
    </row>
    <row r="26" spans="1:16" s="29" customFormat="1" ht="14.5">
      <c r="A26" s="84"/>
      <c r="B26" s="84"/>
      <c r="C26" s="86"/>
      <c r="D26" s="86"/>
      <c r="E26" s="86"/>
      <c r="F26" s="84"/>
      <c r="G26" s="84"/>
      <c r="H26" s="84"/>
      <c r="I26" s="85"/>
      <c r="J26" s="87"/>
      <c r="K26" s="103"/>
      <c r="L26" s="104"/>
      <c r="M26" s="87"/>
      <c r="N26" s="86"/>
      <c r="O26" s="28"/>
      <c r="P26" s="28"/>
    </row>
    <row r="27" spans="1:16" s="29" customFormat="1" ht="14.5">
      <c r="A27" s="84"/>
      <c r="B27" s="84"/>
      <c r="C27" s="86"/>
      <c r="D27" s="86"/>
      <c r="E27" s="86"/>
      <c r="F27" s="84"/>
      <c r="G27" s="84"/>
      <c r="H27" s="84"/>
      <c r="I27" s="85"/>
      <c r="J27" s="87"/>
      <c r="K27" s="103"/>
      <c r="L27" s="104"/>
      <c r="M27" s="87"/>
      <c r="N27" s="86"/>
      <c r="O27" s="28"/>
      <c r="P27" s="28"/>
    </row>
    <row r="28" spans="1:16" s="29" customFormat="1" ht="14.5">
      <c r="A28" s="84"/>
      <c r="B28" s="84"/>
      <c r="C28" s="86"/>
      <c r="D28" s="86"/>
      <c r="E28" s="86"/>
      <c r="F28" s="84"/>
      <c r="G28" s="84"/>
      <c r="H28" s="84"/>
      <c r="I28" s="85"/>
      <c r="J28" s="87"/>
      <c r="K28" s="103"/>
      <c r="L28" s="104"/>
      <c r="M28" s="87"/>
      <c r="N28" s="86"/>
      <c r="O28" s="28"/>
      <c r="P28" s="28"/>
    </row>
    <row r="29" spans="1:16" s="29" customFormat="1" ht="14.5">
      <c r="A29" s="84"/>
      <c r="B29" s="84"/>
      <c r="C29" s="86"/>
      <c r="D29" s="86"/>
      <c r="E29" s="86"/>
      <c r="F29" s="84"/>
      <c r="G29" s="84"/>
      <c r="H29" s="84"/>
      <c r="I29" s="85"/>
      <c r="J29" s="87"/>
      <c r="K29" s="103"/>
      <c r="L29" s="104"/>
      <c r="M29" s="87"/>
      <c r="N29" s="86"/>
      <c r="O29" s="28"/>
      <c r="P29" s="28"/>
    </row>
    <row r="30" spans="1:16" s="29" customFormat="1" ht="14.5">
      <c r="A30" s="84"/>
      <c r="B30" s="84"/>
      <c r="C30" s="86"/>
      <c r="D30" s="86"/>
      <c r="E30" s="86"/>
      <c r="F30" s="84"/>
      <c r="G30" s="84"/>
      <c r="H30" s="84"/>
      <c r="I30" s="85"/>
      <c r="J30" s="87"/>
      <c r="K30" s="103"/>
      <c r="L30" s="104"/>
      <c r="M30" s="87"/>
      <c r="N30" s="86"/>
      <c r="O30" s="28"/>
      <c r="P30" s="28"/>
    </row>
    <row r="31" spans="1:16" s="29" customFormat="1" ht="14.5">
      <c r="A31" s="84"/>
      <c r="B31" s="84"/>
      <c r="C31" s="86"/>
      <c r="D31" s="86"/>
      <c r="E31" s="86"/>
      <c r="F31" s="84"/>
      <c r="G31" s="84"/>
      <c r="H31" s="84"/>
      <c r="I31" s="85"/>
      <c r="J31" s="87"/>
      <c r="K31" s="103"/>
      <c r="L31" s="104"/>
      <c r="M31" s="87"/>
      <c r="N31" s="86"/>
      <c r="O31" s="28"/>
      <c r="P31" s="28"/>
    </row>
    <row r="32" spans="1:16" s="29" customFormat="1" ht="14.5">
      <c r="A32" s="84"/>
      <c r="B32" s="84"/>
      <c r="C32" s="86"/>
      <c r="D32" s="86"/>
      <c r="E32" s="86"/>
      <c r="F32" s="84"/>
      <c r="G32" s="84"/>
      <c r="H32" s="84"/>
      <c r="I32" s="85"/>
      <c r="J32" s="87"/>
      <c r="K32" s="103"/>
      <c r="L32" s="104"/>
      <c r="M32" s="87"/>
      <c r="N32" s="86"/>
      <c r="O32" s="28"/>
      <c r="P32" s="28"/>
    </row>
    <row r="33" spans="1:16" s="29" customFormat="1" ht="14.5">
      <c r="A33" s="84"/>
      <c r="B33" s="84"/>
      <c r="C33" s="86"/>
      <c r="D33" s="86"/>
      <c r="E33" s="86"/>
      <c r="F33" s="84"/>
      <c r="G33" s="84"/>
      <c r="H33" s="84"/>
      <c r="I33" s="85"/>
      <c r="J33" s="87"/>
      <c r="K33" s="103"/>
      <c r="L33" s="104"/>
      <c r="M33" s="87"/>
      <c r="N33" s="86"/>
      <c r="O33" s="28"/>
      <c r="P33" s="28"/>
    </row>
    <row r="34" spans="1:16" s="29" customFormat="1" ht="14.5">
      <c r="A34" s="84"/>
      <c r="B34" s="84"/>
      <c r="C34" s="86"/>
      <c r="D34" s="86"/>
      <c r="E34" s="86"/>
      <c r="F34" s="84"/>
      <c r="G34" s="84"/>
      <c r="H34" s="84"/>
      <c r="I34" s="85"/>
      <c r="J34" s="87"/>
      <c r="K34" s="103"/>
      <c r="L34" s="104"/>
      <c r="M34" s="87"/>
      <c r="N34" s="86"/>
      <c r="O34" s="28"/>
      <c r="P34" s="28"/>
    </row>
    <row r="35" spans="1:16" s="29" customFormat="1" ht="14.5">
      <c r="A35" s="84"/>
      <c r="B35" s="84"/>
      <c r="C35" s="86"/>
      <c r="D35" s="86"/>
      <c r="E35" s="86"/>
      <c r="F35" s="84"/>
      <c r="G35" s="84"/>
      <c r="H35" s="84"/>
      <c r="I35" s="85"/>
      <c r="J35" s="87"/>
      <c r="K35" s="103"/>
      <c r="L35" s="104"/>
      <c r="M35" s="87"/>
      <c r="N35" s="86"/>
      <c r="O35" s="28"/>
      <c r="P35" s="28"/>
    </row>
    <row r="36" spans="1:16" s="29" customFormat="1" ht="14.5">
      <c r="A36" s="84"/>
      <c r="B36" s="84"/>
      <c r="C36" s="86"/>
      <c r="D36" s="86"/>
      <c r="E36" s="86"/>
      <c r="F36" s="84"/>
      <c r="G36" s="84"/>
      <c r="H36" s="84"/>
      <c r="I36" s="85"/>
      <c r="J36" s="87"/>
      <c r="K36" s="103"/>
      <c r="L36" s="104"/>
      <c r="M36" s="87"/>
      <c r="N36" s="86"/>
      <c r="O36" s="28"/>
      <c r="P36" s="28"/>
    </row>
    <row r="37" spans="1:16" s="29" customFormat="1" ht="14.5">
      <c r="A37" s="84"/>
      <c r="B37" s="84"/>
      <c r="C37" s="86"/>
      <c r="D37" s="86"/>
      <c r="E37" s="86"/>
      <c r="F37" s="84"/>
      <c r="G37" s="84"/>
      <c r="H37" s="84"/>
      <c r="I37" s="85"/>
      <c r="J37" s="87"/>
      <c r="K37" s="103"/>
      <c r="L37" s="104"/>
      <c r="M37" s="87"/>
      <c r="N37" s="86"/>
      <c r="O37" s="28"/>
      <c r="P37" s="28"/>
    </row>
    <row r="38" spans="1:16" s="29" customFormat="1" ht="14.5">
      <c r="A38" s="84"/>
      <c r="B38" s="84"/>
      <c r="C38" s="86"/>
      <c r="D38" s="86"/>
      <c r="E38" s="86"/>
      <c r="F38" s="84"/>
      <c r="G38" s="84"/>
      <c r="H38" s="84"/>
      <c r="I38" s="85"/>
      <c r="J38" s="87"/>
      <c r="K38" s="103"/>
      <c r="L38" s="104"/>
      <c r="M38" s="87"/>
      <c r="N38" s="86"/>
      <c r="O38" s="28"/>
      <c r="P38" s="28"/>
    </row>
    <row r="39" spans="1:16" s="29" customFormat="1" ht="14.5">
      <c r="A39" s="84"/>
      <c r="B39" s="84"/>
      <c r="C39" s="86"/>
      <c r="D39" s="86"/>
      <c r="E39" s="86"/>
      <c r="F39" s="84"/>
      <c r="G39" s="84"/>
      <c r="H39" s="84"/>
      <c r="I39" s="85"/>
      <c r="J39" s="87"/>
      <c r="K39" s="103"/>
      <c r="L39" s="104"/>
      <c r="M39" s="87"/>
      <c r="N39" s="86"/>
      <c r="O39" s="28"/>
      <c r="P39" s="28"/>
    </row>
  </sheetData>
  <dataConsolidate/>
  <mergeCells count="1">
    <mergeCell ref="A1:E1"/>
  </mergeCells>
  <phoneticPr fontId="5" type="noConversion"/>
  <dataValidations count="5">
    <dataValidation type="list" allowBlank="1" showErrorMessage="1" sqref="WVN3:WVN8 JB3:JB8 SX3:SX8 ACT3:ACT8 AMP3:AMP8 AWL3:AWL8 BGH3:BGH8 BQD3:BQD8 BZZ3:BZZ8 CJV3:CJV8 CTR3:CTR8 DDN3:DDN8 DNJ3:DNJ8 DXF3:DXF8 EHB3:EHB8 EQX3:EQX8 FAT3:FAT8 FKP3:FKP8 FUL3:FUL8 GEH3:GEH8 GOD3:GOD8 GXZ3:GXZ8 HHV3:HHV8 HRR3:HRR8 IBN3:IBN8 ILJ3:ILJ8 IVF3:IVF8 JFB3:JFB8 JOX3:JOX8 JYT3:JYT8 KIP3:KIP8 KSL3:KSL8 LCH3:LCH8 LMD3:LMD8 LVZ3:LVZ8 MFV3:MFV8 MPR3:MPR8 MZN3:MZN8 NJJ3:NJJ8 NTF3:NTF8 ODB3:ODB8 OMX3:OMX8 OWT3:OWT8 PGP3:PGP8 PQL3:PQL8 QAH3:QAH8 QKD3:QKD8 QTZ3:QTZ8 RDV3:RDV8 RNR3:RNR8 RXN3:RXN8 SHJ3:SHJ8 SRF3:SRF8 TBB3:TBB8 TKX3:TKX8 TUT3:TUT8 UEP3:UEP8 UOL3:UOL8 UYH3:UYH8 VID3:VID8 VRZ3:VRZ8 WBV3:WBV8 WLR3:WLR8 WLS12:WLS39 WBW12:WBW39 VSA12:VSA39 VIE12:VIE39 UYI12:UYI39 UOM12:UOM39 UEQ12:UEQ39 TUU12:TUU39 TKY12:TKY39 TBC12:TBC39 SRG12:SRG39 SHK12:SHK39 RXO12:RXO39 RNS12:RNS39 RDW12:RDW39 QUA12:QUA39 QKE12:QKE39 QAI12:QAI39 PQM12:PQM39 PGQ12:PGQ39 OWU12:OWU39 OMY12:OMY39 ODC12:ODC39 NTG12:NTG39 NJK12:NJK39 MZO12:MZO39 MPS12:MPS39 MFW12:MFW39 LWA12:LWA39 LME12:LME39 LCI12:LCI39 KSM12:KSM39 KIQ12:KIQ39 JYU12:JYU39 JOY12:JOY39 JFC12:JFC39 IVG12:IVG39 ILK12:ILK39 IBO12:IBO39 HRS12:HRS39 HHW12:HHW39 GYA12:GYA39 GOE12:GOE39 GEI12:GEI39 FUM12:FUM39 FKQ12:FKQ39 FAU12:FAU39 EQY12:EQY39 EHC12:EHC39 DXG12:DXG39 DNK12:DNK39 DDO12:DDO39 CTS12:CTS39 CJW12:CJW39 CAA12:CAA39 BQE12:BQE39 BGI12:BGI39 AWM12:AWM39 AMQ12:AMQ39 ACU12:ACU39 SY12:SY39 JC12:JC39 WVO12:WVO39" xr:uid="{00000000-0002-0000-0200-000000000000}">
      <formula1>"Clarity, Correctness, Completeness, Consistency, Testability"</formula1>
      <formula2>0</formula2>
    </dataValidation>
    <dataValidation type="list" allowBlank="1" showErrorMessage="1" sqref="SW3:SW8 ACS3:ACS8 AMO3:AMO8 AWK3:AWK8 BGG3:BGG8 BQC3:BQC8 BZY3:BZY8 CJU3:CJU8 CTQ3:CTQ8 DDM3:DDM8 DNI3:DNI8 DXE3:DXE8 EHA3:EHA8 EQW3:EQW8 FAS3:FAS8 FKO3:FKO8 FUK3:FUK8 GEG3:GEG8 GOC3:GOC8 GXY3:GXY8 HHU3:HHU8 HRQ3:HRQ8 IBM3:IBM8 ILI3:ILI8 IVE3:IVE8 JFA3:JFA8 JOW3:JOW8 JYS3:JYS8 KIO3:KIO8 KSK3:KSK8 LCG3:LCG8 LMC3:LMC8 LVY3:LVY8 MFU3:MFU8 MPQ3:MPQ8 MZM3:MZM8 NJI3:NJI8 NTE3:NTE8 ODA3:ODA8 OMW3:OMW8 OWS3:OWS8 PGO3:PGO8 PQK3:PQK8 QAG3:QAG8 QKC3:QKC8 QTY3:QTY8 RDU3:RDU8 RNQ3:RNQ8 RXM3:RXM8 SHI3:SHI8 SRE3:SRE8 TBA3:TBA8 TKW3:TKW8 TUS3:TUS8 UEO3:UEO8 UOK3:UOK8 UYG3:UYG8 VIC3:VIC8 VRY3:VRY8 WBU3:WBU8 WLQ3:WLQ8 WVM3:WVM8 JA3:JA8 VRZ12:VRZ39 VID12:VID39 UYH12:UYH39 UOL12:UOL39 UEP12:UEP39 TUT12:TUT39 TKX12:TKX39 TBB12:TBB39 SRF12:SRF39 SHJ12:SHJ39 RXN12:RXN39 RNR12:RNR39 RDV12:RDV39 QTZ12:QTZ39 QKD12:QKD39 QAH12:QAH39 PQL12:PQL39 PGP12:PGP39 OWT12:OWT39 OMX12:OMX39 ODB12:ODB39 NTF12:NTF39 NJJ12:NJJ39 MZN12:MZN39 MPR12:MPR39 MFV12:MFV39 LVZ12:LVZ39 LMD12:LMD39 LCH12:LCH39 KSL12:KSL39 KIP12:KIP39 JYT12:JYT39 JOX12:JOX39 JFB12:JFB39 IVF12:IVF39 ILJ12:ILJ39 IBN12:IBN39 HRR12:HRR39 HHV12:HHV39 GXZ12:GXZ39 GOD12:GOD39 GEH12:GEH39 FUL12:FUL39 FKP12:FKP39 FAT12:FAT39 EQX12:EQX39 EHB12:EHB39 DXF12:DXF39 DNJ12:DNJ39 DDN12:DDN39 CTR12:CTR39 CJV12:CJV39 BZZ12:BZZ39 BQD12:BQD39 BGH12:BGH39 AWL12:AWL39 AMP12:AMP39 ACT12:ACT39 SX12:SX39 JB12:JB39 WVN12:WVN39 WLR12:WLR39 WBV12:WBV39" xr:uid="{00000000-0002-0000-0200-000001000000}">
      <formula1>"Business Logic, Functionality, Validation Rules, Non-Functionality, Dependencies"</formula1>
      <formula2>0</formula2>
    </dataValidation>
    <dataValidation type="list" allowBlank="1" showErrorMessage="1" sqref="JC3:JC8 SY3:SY8 ACU3:ACU8 AMQ3:AMQ8 AWM3:AWM8 BGI3:BGI8 BQE3:BQE8 CAA3:CAA8 CJW3:CJW8 CTS3:CTS8 DDO3:DDO8 DNK3:DNK8 DXG3:DXG8 EHC3:EHC8 EQY3:EQY8 FAU3:FAU8 FKQ3:FKQ8 FUM3:FUM8 GEI3:GEI8 GOE3:GOE8 GYA3:GYA8 HHW3:HHW8 HRS3:HRS8 IBO3:IBO8 ILK3:ILK8 IVG3:IVG8 JFC3:JFC8 JOY3:JOY8 JYU3:JYU8 KIQ3:KIQ8 KSM3:KSM8 LCI3:LCI8 LME3:LME8 LWA3:LWA8 MFW3:MFW8 MPS3:MPS8 MZO3:MZO8 NJK3:NJK8 NTG3:NTG8 ODC3:ODC8 OMY3:OMY8 OWU3:OWU8 PGQ3:PGQ8 PQM3:PQM8 QAI3:QAI8 QKE3:QKE8 QUA3:QUA8 RDW3:RDW8 RNS3:RNS8 RXO3:RXO8 SHK3:SHK8 SRG3:SRG8 TBC3:TBC8 TKY3:TKY8 TUU3:TUU8 UEQ3:UEQ8 UOM3:UOM8 UYI3:UYI8 VIE3:VIE8 VSA3:VSA8 WBW3:WBW8 WLS3:WLS8 WVO3:WVO8 WLT12:WLT39 WBX12:WBX39 VSB12:VSB39 VIF12:VIF39 UYJ12:UYJ39 UON12:UON39 UER12:UER39 TUV12:TUV39 TKZ12:TKZ39 TBD12:TBD39 SRH12:SRH39 SHL12:SHL39 RXP12:RXP39 RNT12:RNT39 RDX12:RDX39 QUB12:QUB39 QKF12:QKF39 QAJ12:QAJ39 PQN12:PQN39 PGR12:PGR39 OWV12:OWV39 OMZ12:OMZ39 ODD12:ODD39 NTH12:NTH39 NJL12:NJL39 MZP12:MZP39 MPT12:MPT39 MFX12:MFX39 LWB12:LWB39 LMF12:LMF39 LCJ12:LCJ39 KSN12:KSN39 KIR12:KIR39 JYV12:JYV39 JOZ12:JOZ39 JFD12:JFD39 IVH12:IVH39 ILL12:ILL39 IBP12:IBP39 HRT12:HRT39 HHX12:HHX39 GYB12:GYB39 GOF12:GOF39 GEJ12:GEJ39 FUN12:FUN39 FKR12:FKR39 FAV12:FAV39 EQZ12:EQZ39 EHD12:EHD39 DXH12:DXH39 DNL12:DNL39 DDP12:DDP39 CTT12:CTT39 CJX12:CJX39 CAB12:CAB39 BQF12:BQF39 BGJ12:BGJ39 AWN12:AWN39 AMR12:AMR39 ACV12:ACV39 SZ12:SZ39 JD12:JD39 WVP12:WVP39" xr:uid="{00000000-0002-0000-0200-000002000000}">
      <formula1>"Critical, High, Medium, Low"</formula1>
      <formula2>0</formula2>
    </dataValidation>
    <dataValidation type="list" allowBlank="1" showErrorMessage="1" sqref="I983047:I983057 I917511:I917521 I851975:I851985 I786439:I786449 I720903:I720913 I655367:I655377 I589831:I589841 I524295:I524305 I458759:I458769 I393223:I393233 I327687:I327697 I262151:I262161 I196615:I196625 I131079:I131089 I65543:I65553 WLT3:WLT8 WVP3:WVP8 JD3:JD8 SZ3:SZ8 ACV3:ACV8 AMR3:AMR8 AWN3:AWN8 BGJ3:BGJ8 BQF3:BQF8 CAB3:CAB8 CJX3:CJX8 CTT3:CTT8 DDP3:DDP8 DNL3:DNL8 DXH3:DXH8 EHD3:EHD8 EQZ3:EQZ8 FAV3:FAV8 FKR3:FKR8 FUN3:FUN8 GEJ3:GEJ8 GOF3:GOF8 GYB3:GYB8 HHX3:HHX8 HRT3:HRT8 IBP3:IBP8 ILL3:ILL8 IVH3:IVH8 JFD3:JFD8 JOZ3:JOZ8 JYV3:JYV8 KIR3:KIR8 KSN3:KSN8 LCJ3:LCJ8 LMF3:LMF8 LWB3:LWB8 MFX3:MFX8 MPT3:MPT8 MZP3:MZP8 NJL3:NJL8 NTH3:NTH8 ODD3:ODD8 OMZ3:OMZ8 OWV3:OWV8 PGR3:PGR8 PQN3:PQN8 QAJ3:QAJ8 QKF3:QKF8 QUB3:QUB8 RDX3:RDX8 RNT3:RNT8 RXP3:RXP8 SHL3:SHL8 SRH3:SRH8 TBD3:TBD8 TKZ3:TKZ8 TUV3:TUV8 UER3:UER8 UON3:UON8 UYJ3:UYJ8 VIF3:VIF8 VSB3:VSB8 WBX3:WBX8 WLU12:WLU39 WBY12:WBY39 VSC12:VSC39 VIG12:VIG39 UYK12:UYK39 UOO12:UOO39 UES12:UES39 TUW12:TUW39 TLA12:TLA39 TBE12:TBE39 SRI12:SRI39 SHM12:SHM39 RXQ12:RXQ39 RNU12:RNU39 RDY12:RDY39 QUC12:QUC39 QKG12:QKG39 QAK12:QAK39 PQO12:PQO39 PGS12:PGS39 OWW12:OWW39 ONA12:ONA39 ODE12:ODE39 NTI12:NTI39 NJM12:NJM39 MZQ12:MZQ39 MPU12:MPU39 MFY12:MFY39 LWC12:LWC39 LMG12:LMG39 LCK12:LCK39 KSO12:KSO39 KIS12:KIS39 JYW12:JYW39 JPA12:JPA39 JFE12:JFE39 IVI12:IVI39 ILM12:ILM39 IBQ12:IBQ39 HRU12:HRU39 HHY12:HHY39 GYC12:GYC39 GOG12:GOG39 GEK12:GEK39 FUO12:FUO39 FKS12:FKS39 FAW12:FAW39 ERA12:ERA39 EHE12:EHE39 DXI12:DXI39 DNM12:DNM39 DDQ12:DDQ39 CTU12:CTU39 CJY12:CJY39 CAC12:CAC39 BQG12:BQG39 BGK12:BGK39 AWO12:AWO39 AMS12:AMS39 ACW12:ACW39 TA12:TA39 JE12:JE39 WVQ12:WVQ39 I3:I39" xr:uid="{00000000-0002-0000-0200-000003000000}">
      <formula1>"Open,Pending,Closed, Rejected"</formula1>
    </dataValidation>
    <dataValidation type="list" allowBlank="1" showErrorMessage="1" sqref="I65554:I65593 I983058:I983097 I917522:I917561 I851986:I852025 I786450:I786489 I720914:I720953 I655378:I655417 I589842:I589881 I524306:I524345 I458770:I458809 I393234:I393273 I327698:I327737 I262162:I262201 I196626:I196665 I131090:I131129 I40:I57" xr:uid="{00000000-0002-0000-0200-000004000000}">
      <formula1>"Open,Pending,Closed"</formula1>
      <formula2>0</formula2>
    </dataValidation>
  </dataValidations>
  <pageMargins left="0.7" right="0.7" top="0.75" bottom="0.75" header="0.3" footer="0.3"/>
  <pageSetup scale="77" orientation="landscape"/>
  <headerFooter>
    <oddHeader>&amp;L&amp;F&amp;R&amp;G</oddHeader>
    <oddFooter>&amp;LDoc ID: SPQ-T21Proprietary &amp; Confidential&amp;RPage &amp;P of &amp;NV 1.0</oddFooter>
    <evenHeader>&amp;CBrown - Forman / Apples, All Rights Reserved.</evenHeader>
    <evenFooter>&amp;L&amp;FProprietary &amp; Confidential&amp;RPage &amp;P of &amp;NV 3.0</evenFooter>
  </headerFooter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ErrorMessage="1" xr:uid="{00000000-0002-0000-0200-000005000000}">
          <x14:formula1>
            <xm:f>Guidelines!$A$16:$A$19</xm:f>
          </x14:formula1>
          <xm:sqref>G3:G39</xm:sqref>
        </x14:dataValidation>
        <x14:dataValidation type="list" allowBlank="1" showInputMessage="1" showErrorMessage="1" xr:uid="{00000000-0002-0000-0200-000006000000}">
          <x14:formula1>
            <xm:f>Guidelines!$A$21:$A$25</xm:f>
          </x14:formula1>
          <xm:sqref>F3:F39</xm:sqref>
        </x14:dataValidation>
        <x14:dataValidation type="list" allowBlank="1" showErrorMessage="1" xr:uid="{00000000-0002-0000-0200-000007000000}">
          <x14:formula1>
            <xm:f>Guidelines!$A$27:$A$30</xm:f>
          </x14:formula1>
          <xm:sqref>H3:H39</xm:sqref>
        </x14:dataValidation>
      </x14:dataValidations>
    </ext>
    <ext xmlns:mx="http://schemas.microsoft.com/office/mac/excel/2008/main" uri="{64002731-A6B0-56B0-2670-7721B7C09600}">
      <mx:PLV Mode="0" OnePage="0" WScale="0"/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35"/>
  <sheetViews>
    <sheetView workbookViewId="0">
      <selection activeCell="B19" sqref="B19"/>
    </sheetView>
  </sheetViews>
  <sheetFormatPr defaultColWidth="8.7265625" defaultRowHeight="10"/>
  <cols>
    <col min="1" max="1" width="23.7265625" style="1" bestFit="1" customWidth="1"/>
    <col min="2" max="2" width="88.1796875" style="1" customWidth="1"/>
    <col min="3" max="16384" width="8.7265625" style="1"/>
  </cols>
  <sheetData>
    <row r="1" spans="1:2" s="30" customFormat="1" ht="15.5">
      <c r="A1" s="88" t="s">
        <v>67</v>
      </c>
      <c r="B1" s="89" t="s">
        <v>68</v>
      </c>
    </row>
    <row r="2" spans="1:2" ht="14.5">
      <c r="A2" s="90" t="s">
        <v>40</v>
      </c>
      <c r="B2" s="90" t="s">
        <v>69</v>
      </c>
    </row>
    <row r="3" spans="1:2" ht="14.5">
      <c r="A3" s="90" t="s">
        <v>26</v>
      </c>
      <c r="B3" s="90" t="s">
        <v>70</v>
      </c>
    </row>
    <row r="4" spans="1:2" ht="14.5">
      <c r="A4" s="90" t="s">
        <v>71</v>
      </c>
      <c r="B4" s="90" t="s">
        <v>72</v>
      </c>
    </row>
    <row r="5" spans="1:2" ht="14.5">
      <c r="A5" s="90" t="s">
        <v>42</v>
      </c>
      <c r="B5" s="90" t="s">
        <v>73</v>
      </c>
    </row>
    <row r="6" spans="1:2" ht="14.5">
      <c r="A6" s="90" t="s">
        <v>43</v>
      </c>
      <c r="B6" s="90" t="s">
        <v>74</v>
      </c>
    </row>
    <row r="7" spans="1:2" ht="14.5">
      <c r="A7" s="90" t="s">
        <v>75</v>
      </c>
      <c r="B7" s="90" t="s">
        <v>76</v>
      </c>
    </row>
    <row r="8" spans="1:2" ht="14.5">
      <c r="A8" s="90" t="s">
        <v>77</v>
      </c>
      <c r="B8" s="90" t="s">
        <v>78</v>
      </c>
    </row>
    <row r="9" spans="1:2" ht="14.5">
      <c r="A9" s="90" t="s">
        <v>46</v>
      </c>
      <c r="B9" s="90" t="s">
        <v>79</v>
      </c>
    </row>
    <row r="10" spans="1:2" ht="29">
      <c r="A10" s="90" t="s">
        <v>47</v>
      </c>
      <c r="B10" s="90" t="s">
        <v>80</v>
      </c>
    </row>
    <row r="11" spans="1:2" ht="14.5">
      <c r="A11" s="90" t="s">
        <v>48</v>
      </c>
      <c r="B11" s="90" t="s">
        <v>81</v>
      </c>
    </row>
    <row r="12" spans="1:2" ht="14.5">
      <c r="A12" s="90" t="s">
        <v>49</v>
      </c>
      <c r="B12" s="90" t="s">
        <v>82</v>
      </c>
    </row>
    <row r="13" spans="1:2" ht="14.5">
      <c r="A13" s="90" t="s">
        <v>50</v>
      </c>
      <c r="B13" s="90" t="s">
        <v>83</v>
      </c>
    </row>
    <row r="14" spans="1:2" ht="14.5">
      <c r="A14" s="90" t="s">
        <v>51</v>
      </c>
      <c r="B14" s="90" t="s">
        <v>84</v>
      </c>
    </row>
    <row r="15" spans="1:2" s="30" customFormat="1" ht="15.5">
      <c r="A15" s="88" t="s">
        <v>85</v>
      </c>
      <c r="B15" s="89" t="s">
        <v>68</v>
      </c>
    </row>
    <row r="16" spans="1:2" ht="14.5">
      <c r="A16" s="90" t="s">
        <v>8</v>
      </c>
      <c r="B16" s="90" t="s">
        <v>86</v>
      </c>
    </row>
    <row r="17" spans="1:2" ht="43.5">
      <c r="A17" s="90" t="s">
        <v>10</v>
      </c>
      <c r="B17" s="90" t="s">
        <v>87</v>
      </c>
    </row>
    <row r="18" spans="1:2" ht="14.5">
      <c r="A18" s="90" t="s">
        <v>9</v>
      </c>
      <c r="B18" s="90" t="s">
        <v>88</v>
      </c>
    </row>
    <row r="19" spans="1:2" ht="14.5">
      <c r="A19" s="90" t="s">
        <v>11</v>
      </c>
      <c r="B19" s="90" t="s">
        <v>89</v>
      </c>
    </row>
    <row r="20" spans="1:2" s="30" customFormat="1" ht="15.5">
      <c r="A20" s="88" t="s">
        <v>90</v>
      </c>
      <c r="B20" s="89" t="s">
        <v>68</v>
      </c>
    </row>
    <row r="21" spans="1:2" ht="14.5">
      <c r="A21" s="90" t="s">
        <v>18</v>
      </c>
      <c r="B21" s="90" t="s">
        <v>91</v>
      </c>
    </row>
    <row r="22" spans="1:2" ht="14.5">
      <c r="A22" s="90" t="s">
        <v>19</v>
      </c>
      <c r="B22" s="90" t="s">
        <v>92</v>
      </c>
    </row>
    <row r="23" spans="1:2" ht="29">
      <c r="A23" s="90" t="s">
        <v>20</v>
      </c>
      <c r="B23" s="90" t="s">
        <v>93</v>
      </c>
    </row>
    <row r="24" spans="1:2" ht="14.5">
      <c r="A24" s="90" t="s">
        <v>21</v>
      </c>
      <c r="B24" s="90" t="s">
        <v>94</v>
      </c>
    </row>
    <row r="25" spans="1:2" ht="14.5">
      <c r="A25" s="90" t="s">
        <v>22</v>
      </c>
      <c r="B25" s="90" t="s">
        <v>95</v>
      </c>
    </row>
    <row r="26" spans="1:2" s="30" customFormat="1" ht="15.5">
      <c r="A26" s="88" t="s">
        <v>46</v>
      </c>
      <c r="B26" s="89" t="s">
        <v>68</v>
      </c>
    </row>
    <row r="27" spans="1:2" ht="43.5">
      <c r="A27" s="90" t="s">
        <v>14</v>
      </c>
      <c r="B27" s="90" t="s">
        <v>96</v>
      </c>
    </row>
    <row r="28" spans="1:2" ht="29">
      <c r="A28" s="90" t="s">
        <v>15</v>
      </c>
      <c r="B28" s="90" t="s">
        <v>97</v>
      </c>
    </row>
    <row r="29" spans="1:2" ht="14.5">
      <c r="A29" s="90" t="s">
        <v>16</v>
      </c>
      <c r="B29" s="90" t="s">
        <v>98</v>
      </c>
    </row>
    <row r="30" spans="1:2" ht="14.5">
      <c r="A30" s="90" t="s">
        <v>17</v>
      </c>
      <c r="B30" s="90" t="s">
        <v>99</v>
      </c>
    </row>
    <row r="31" spans="1:2" s="30" customFormat="1" ht="15.5">
      <c r="A31" s="88" t="s">
        <v>47</v>
      </c>
      <c r="B31" s="89" t="s">
        <v>68</v>
      </c>
    </row>
    <row r="32" spans="1:2" ht="14.5">
      <c r="A32" s="90" t="s">
        <v>4</v>
      </c>
      <c r="B32" s="90" t="s">
        <v>100</v>
      </c>
    </row>
    <row r="33" spans="1:2" ht="14.5">
      <c r="A33" s="90" t="s">
        <v>5</v>
      </c>
      <c r="B33" s="90" t="s">
        <v>101</v>
      </c>
    </row>
    <row r="34" spans="1:2" ht="14.5">
      <c r="A34" s="90" t="s">
        <v>6</v>
      </c>
      <c r="B34" s="90" t="s">
        <v>102</v>
      </c>
    </row>
    <row r="35" spans="1:2" ht="14.5">
      <c r="A35" s="90" t="s">
        <v>7</v>
      </c>
      <c r="B35" s="90" t="s">
        <v>103</v>
      </c>
    </row>
  </sheetData>
  <phoneticPr fontId="5" type="noConversion"/>
  <pageMargins left="0.7" right="0.7" top="0.75" bottom="0.75" header="0.3" footer="0.3"/>
  <pageSetup scale="77" orientation="landscape"/>
  <headerFooter>
    <oddHeader>&amp;L&amp;F&amp;R&amp;G</oddHeader>
    <oddFooter>&amp;LDoc ID: SPQ-T21Proprietary &amp; Confidential&amp;RPage &amp;P of &amp;NV 1.0</oddFooter>
    <evenHeader>&amp;CBrown - Forman / Cigniti, All Rights Reserved.</evenHeader>
    <evenFooter>&amp;L&amp;FProprietary &amp; Confidential&amp;RPage &amp;P of &amp;NV 3.0</evenFooter>
  </headerFooter>
  <extLst>
    <ext xmlns:mx="http://schemas.microsoft.com/office/mac/excel/2008/main" uri="{64002731-A6B0-56B0-2670-7721B7C09600}">
      <mx:PLV Mode="0" OnePage="0" WScale="0"/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1:IV11"/>
  <sheetViews>
    <sheetView showGridLines="0" zoomScaleNormal="100" workbookViewId="0">
      <selection activeCell="F3" sqref="F3"/>
    </sheetView>
  </sheetViews>
  <sheetFormatPr defaultRowHeight="12.5"/>
  <cols>
    <col min="1" max="1" width="10.81640625" style="14" customWidth="1"/>
    <col min="2" max="2" width="14.54296875" style="14" customWidth="1"/>
    <col min="3" max="3" width="17.453125" style="14" customWidth="1"/>
    <col min="4" max="4" width="18.81640625" style="14" customWidth="1"/>
    <col min="5" max="5" width="19.26953125" style="14" customWidth="1"/>
    <col min="6" max="6" width="30.7265625" style="14" customWidth="1"/>
    <col min="7" max="256" width="9.1796875" style="14"/>
    <col min="257" max="257" width="10.81640625" style="14" customWidth="1"/>
    <col min="258" max="258" width="14.54296875" style="14" customWidth="1"/>
    <col min="259" max="259" width="17.453125" style="14" customWidth="1"/>
    <col min="260" max="260" width="18.81640625" style="14" customWidth="1"/>
    <col min="261" max="261" width="19.26953125" style="14" customWidth="1"/>
    <col min="262" max="262" width="30.7265625" style="14" customWidth="1"/>
    <col min="263" max="512" width="9.1796875" style="14"/>
    <col min="513" max="513" width="10.81640625" style="14" customWidth="1"/>
    <col min="514" max="514" width="14.54296875" style="14" customWidth="1"/>
    <col min="515" max="515" width="17.453125" style="14" customWidth="1"/>
    <col min="516" max="516" width="18.81640625" style="14" customWidth="1"/>
    <col min="517" max="517" width="19.26953125" style="14" customWidth="1"/>
    <col min="518" max="518" width="30.7265625" style="14" customWidth="1"/>
    <col min="519" max="768" width="9.1796875" style="14"/>
    <col min="769" max="769" width="10.81640625" style="14" customWidth="1"/>
    <col min="770" max="770" width="14.54296875" style="14" customWidth="1"/>
    <col min="771" max="771" width="17.453125" style="14" customWidth="1"/>
    <col min="772" max="772" width="18.81640625" style="14" customWidth="1"/>
    <col min="773" max="773" width="19.26953125" style="14" customWidth="1"/>
    <col min="774" max="774" width="30.7265625" style="14" customWidth="1"/>
    <col min="775" max="1024" width="9.1796875" style="14"/>
    <col min="1025" max="1025" width="10.81640625" style="14" customWidth="1"/>
    <col min="1026" max="1026" width="14.54296875" style="14" customWidth="1"/>
    <col min="1027" max="1027" width="17.453125" style="14" customWidth="1"/>
    <col min="1028" max="1028" width="18.81640625" style="14" customWidth="1"/>
    <col min="1029" max="1029" width="19.26953125" style="14" customWidth="1"/>
    <col min="1030" max="1030" width="30.7265625" style="14" customWidth="1"/>
    <col min="1031" max="1280" width="9.1796875" style="14"/>
    <col min="1281" max="1281" width="10.81640625" style="14" customWidth="1"/>
    <col min="1282" max="1282" width="14.54296875" style="14" customWidth="1"/>
    <col min="1283" max="1283" width="17.453125" style="14" customWidth="1"/>
    <col min="1284" max="1284" width="18.81640625" style="14" customWidth="1"/>
    <col min="1285" max="1285" width="19.26953125" style="14" customWidth="1"/>
    <col min="1286" max="1286" width="30.7265625" style="14" customWidth="1"/>
    <col min="1287" max="1536" width="9.1796875" style="14"/>
    <col min="1537" max="1537" width="10.81640625" style="14" customWidth="1"/>
    <col min="1538" max="1538" width="14.54296875" style="14" customWidth="1"/>
    <col min="1539" max="1539" width="17.453125" style="14" customWidth="1"/>
    <col min="1540" max="1540" width="18.81640625" style="14" customWidth="1"/>
    <col min="1541" max="1541" width="19.26953125" style="14" customWidth="1"/>
    <col min="1542" max="1542" width="30.7265625" style="14" customWidth="1"/>
    <col min="1543" max="1792" width="9.1796875" style="14"/>
    <col min="1793" max="1793" width="10.81640625" style="14" customWidth="1"/>
    <col min="1794" max="1794" width="14.54296875" style="14" customWidth="1"/>
    <col min="1795" max="1795" width="17.453125" style="14" customWidth="1"/>
    <col min="1796" max="1796" width="18.81640625" style="14" customWidth="1"/>
    <col min="1797" max="1797" width="19.26953125" style="14" customWidth="1"/>
    <col min="1798" max="1798" width="30.7265625" style="14" customWidth="1"/>
    <col min="1799" max="2048" width="9.1796875" style="14"/>
    <col min="2049" max="2049" width="10.81640625" style="14" customWidth="1"/>
    <col min="2050" max="2050" width="14.54296875" style="14" customWidth="1"/>
    <col min="2051" max="2051" width="17.453125" style="14" customWidth="1"/>
    <col min="2052" max="2052" width="18.81640625" style="14" customWidth="1"/>
    <col min="2053" max="2053" width="19.26953125" style="14" customWidth="1"/>
    <col min="2054" max="2054" width="30.7265625" style="14" customWidth="1"/>
    <col min="2055" max="2304" width="9.1796875" style="14"/>
    <col min="2305" max="2305" width="10.81640625" style="14" customWidth="1"/>
    <col min="2306" max="2306" width="14.54296875" style="14" customWidth="1"/>
    <col min="2307" max="2307" width="17.453125" style="14" customWidth="1"/>
    <col min="2308" max="2308" width="18.81640625" style="14" customWidth="1"/>
    <col min="2309" max="2309" width="19.26953125" style="14" customWidth="1"/>
    <col min="2310" max="2310" width="30.7265625" style="14" customWidth="1"/>
    <col min="2311" max="2560" width="9.1796875" style="14"/>
    <col min="2561" max="2561" width="10.81640625" style="14" customWidth="1"/>
    <col min="2562" max="2562" width="14.54296875" style="14" customWidth="1"/>
    <col min="2563" max="2563" width="17.453125" style="14" customWidth="1"/>
    <col min="2564" max="2564" width="18.81640625" style="14" customWidth="1"/>
    <col min="2565" max="2565" width="19.26953125" style="14" customWidth="1"/>
    <col min="2566" max="2566" width="30.7265625" style="14" customWidth="1"/>
    <col min="2567" max="2816" width="9.1796875" style="14"/>
    <col min="2817" max="2817" width="10.81640625" style="14" customWidth="1"/>
    <col min="2818" max="2818" width="14.54296875" style="14" customWidth="1"/>
    <col min="2819" max="2819" width="17.453125" style="14" customWidth="1"/>
    <col min="2820" max="2820" width="18.81640625" style="14" customWidth="1"/>
    <col min="2821" max="2821" width="19.26953125" style="14" customWidth="1"/>
    <col min="2822" max="2822" width="30.7265625" style="14" customWidth="1"/>
    <col min="2823" max="3072" width="9.1796875" style="14"/>
    <col min="3073" max="3073" width="10.81640625" style="14" customWidth="1"/>
    <col min="3074" max="3074" width="14.54296875" style="14" customWidth="1"/>
    <col min="3075" max="3075" width="17.453125" style="14" customWidth="1"/>
    <col min="3076" max="3076" width="18.81640625" style="14" customWidth="1"/>
    <col min="3077" max="3077" width="19.26953125" style="14" customWidth="1"/>
    <col min="3078" max="3078" width="30.7265625" style="14" customWidth="1"/>
    <col min="3079" max="3328" width="9.1796875" style="14"/>
    <col min="3329" max="3329" width="10.81640625" style="14" customWidth="1"/>
    <col min="3330" max="3330" width="14.54296875" style="14" customWidth="1"/>
    <col min="3331" max="3331" width="17.453125" style="14" customWidth="1"/>
    <col min="3332" max="3332" width="18.81640625" style="14" customWidth="1"/>
    <col min="3333" max="3333" width="19.26953125" style="14" customWidth="1"/>
    <col min="3334" max="3334" width="30.7265625" style="14" customWidth="1"/>
    <col min="3335" max="3584" width="9.1796875" style="14"/>
    <col min="3585" max="3585" width="10.81640625" style="14" customWidth="1"/>
    <col min="3586" max="3586" width="14.54296875" style="14" customWidth="1"/>
    <col min="3587" max="3587" width="17.453125" style="14" customWidth="1"/>
    <col min="3588" max="3588" width="18.81640625" style="14" customWidth="1"/>
    <col min="3589" max="3589" width="19.26953125" style="14" customWidth="1"/>
    <col min="3590" max="3590" width="30.7265625" style="14" customWidth="1"/>
    <col min="3591" max="3840" width="9.1796875" style="14"/>
    <col min="3841" max="3841" width="10.81640625" style="14" customWidth="1"/>
    <col min="3842" max="3842" width="14.54296875" style="14" customWidth="1"/>
    <col min="3843" max="3843" width="17.453125" style="14" customWidth="1"/>
    <col min="3844" max="3844" width="18.81640625" style="14" customWidth="1"/>
    <col min="3845" max="3845" width="19.26953125" style="14" customWidth="1"/>
    <col min="3846" max="3846" width="30.7265625" style="14" customWidth="1"/>
    <col min="3847" max="4096" width="9.1796875" style="14"/>
    <col min="4097" max="4097" width="10.81640625" style="14" customWidth="1"/>
    <col min="4098" max="4098" width="14.54296875" style="14" customWidth="1"/>
    <col min="4099" max="4099" width="17.453125" style="14" customWidth="1"/>
    <col min="4100" max="4100" width="18.81640625" style="14" customWidth="1"/>
    <col min="4101" max="4101" width="19.26953125" style="14" customWidth="1"/>
    <col min="4102" max="4102" width="30.7265625" style="14" customWidth="1"/>
    <col min="4103" max="4352" width="9.1796875" style="14"/>
    <col min="4353" max="4353" width="10.81640625" style="14" customWidth="1"/>
    <col min="4354" max="4354" width="14.54296875" style="14" customWidth="1"/>
    <col min="4355" max="4355" width="17.453125" style="14" customWidth="1"/>
    <col min="4356" max="4356" width="18.81640625" style="14" customWidth="1"/>
    <col min="4357" max="4357" width="19.26953125" style="14" customWidth="1"/>
    <col min="4358" max="4358" width="30.7265625" style="14" customWidth="1"/>
    <col min="4359" max="4608" width="9.1796875" style="14"/>
    <col min="4609" max="4609" width="10.81640625" style="14" customWidth="1"/>
    <col min="4610" max="4610" width="14.54296875" style="14" customWidth="1"/>
    <col min="4611" max="4611" width="17.453125" style="14" customWidth="1"/>
    <col min="4612" max="4612" width="18.81640625" style="14" customWidth="1"/>
    <col min="4613" max="4613" width="19.26953125" style="14" customWidth="1"/>
    <col min="4614" max="4614" width="30.7265625" style="14" customWidth="1"/>
    <col min="4615" max="4864" width="9.1796875" style="14"/>
    <col min="4865" max="4865" width="10.81640625" style="14" customWidth="1"/>
    <col min="4866" max="4866" width="14.54296875" style="14" customWidth="1"/>
    <col min="4867" max="4867" width="17.453125" style="14" customWidth="1"/>
    <col min="4868" max="4868" width="18.81640625" style="14" customWidth="1"/>
    <col min="4869" max="4869" width="19.26953125" style="14" customWidth="1"/>
    <col min="4870" max="4870" width="30.7265625" style="14" customWidth="1"/>
    <col min="4871" max="5120" width="9.1796875" style="14"/>
    <col min="5121" max="5121" width="10.81640625" style="14" customWidth="1"/>
    <col min="5122" max="5122" width="14.54296875" style="14" customWidth="1"/>
    <col min="5123" max="5123" width="17.453125" style="14" customWidth="1"/>
    <col min="5124" max="5124" width="18.81640625" style="14" customWidth="1"/>
    <col min="5125" max="5125" width="19.26953125" style="14" customWidth="1"/>
    <col min="5126" max="5126" width="30.7265625" style="14" customWidth="1"/>
    <col min="5127" max="5376" width="9.1796875" style="14"/>
    <col min="5377" max="5377" width="10.81640625" style="14" customWidth="1"/>
    <col min="5378" max="5378" width="14.54296875" style="14" customWidth="1"/>
    <col min="5379" max="5379" width="17.453125" style="14" customWidth="1"/>
    <col min="5380" max="5380" width="18.81640625" style="14" customWidth="1"/>
    <col min="5381" max="5381" width="19.26953125" style="14" customWidth="1"/>
    <col min="5382" max="5382" width="30.7265625" style="14" customWidth="1"/>
    <col min="5383" max="5632" width="9.1796875" style="14"/>
    <col min="5633" max="5633" width="10.81640625" style="14" customWidth="1"/>
    <col min="5634" max="5634" width="14.54296875" style="14" customWidth="1"/>
    <col min="5635" max="5635" width="17.453125" style="14" customWidth="1"/>
    <col min="5636" max="5636" width="18.81640625" style="14" customWidth="1"/>
    <col min="5637" max="5637" width="19.26953125" style="14" customWidth="1"/>
    <col min="5638" max="5638" width="30.7265625" style="14" customWidth="1"/>
    <col min="5639" max="5888" width="9.1796875" style="14"/>
    <col min="5889" max="5889" width="10.81640625" style="14" customWidth="1"/>
    <col min="5890" max="5890" width="14.54296875" style="14" customWidth="1"/>
    <col min="5891" max="5891" width="17.453125" style="14" customWidth="1"/>
    <col min="5892" max="5892" width="18.81640625" style="14" customWidth="1"/>
    <col min="5893" max="5893" width="19.26953125" style="14" customWidth="1"/>
    <col min="5894" max="5894" width="30.7265625" style="14" customWidth="1"/>
    <col min="5895" max="6144" width="9.1796875" style="14"/>
    <col min="6145" max="6145" width="10.81640625" style="14" customWidth="1"/>
    <col min="6146" max="6146" width="14.54296875" style="14" customWidth="1"/>
    <col min="6147" max="6147" width="17.453125" style="14" customWidth="1"/>
    <col min="6148" max="6148" width="18.81640625" style="14" customWidth="1"/>
    <col min="6149" max="6149" width="19.26953125" style="14" customWidth="1"/>
    <col min="6150" max="6150" width="30.7265625" style="14" customWidth="1"/>
    <col min="6151" max="6400" width="9.1796875" style="14"/>
    <col min="6401" max="6401" width="10.81640625" style="14" customWidth="1"/>
    <col min="6402" max="6402" width="14.54296875" style="14" customWidth="1"/>
    <col min="6403" max="6403" width="17.453125" style="14" customWidth="1"/>
    <col min="6404" max="6404" width="18.81640625" style="14" customWidth="1"/>
    <col min="6405" max="6405" width="19.26953125" style="14" customWidth="1"/>
    <col min="6406" max="6406" width="30.7265625" style="14" customWidth="1"/>
    <col min="6407" max="6656" width="9.1796875" style="14"/>
    <col min="6657" max="6657" width="10.81640625" style="14" customWidth="1"/>
    <col min="6658" max="6658" width="14.54296875" style="14" customWidth="1"/>
    <col min="6659" max="6659" width="17.453125" style="14" customWidth="1"/>
    <col min="6660" max="6660" width="18.81640625" style="14" customWidth="1"/>
    <col min="6661" max="6661" width="19.26953125" style="14" customWidth="1"/>
    <col min="6662" max="6662" width="30.7265625" style="14" customWidth="1"/>
    <col min="6663" max="6912" width="9.1796875" style="14"/>
    <col min="6913" max="6913" width="10.81640625" style="14" customWidth="1"/>
    <col min="6914" max="6914" width="14.54296875" style="14" customWidth="1"/>
    <col min="6915" max="6915" width="17.453125" style="14" customWidth="1"/>
    <col min="6916" max="6916" width="18.81640625" style="14" customWidth="1"/>
    <col min="6917" max="6917" width="19.26953125" style="14" customWidth="1"/>
    <col min="6918" max="6918" width="30.7265625" style="14" customWidth="1"/>
    <col min="6919" max="7168" width="9.1796875" style="14"/>
    <col min="7169" max="7169" width="10.81640625" style="14" customWidth="1"/>
    <col min="7170" max="7170" width="14.54296875" style="14" customWidth="1"/>
    <col min="7171" max="7171" width="17.453125" style="14" customWidth="1"/>
    <col min="7172" max="7172" width="18.81640625" style="14" customWidth="1"/>
    <col min="7173" max="7173" width="19.26953125" style="14" customWidth="1"/>
    <col min="7174" max="7174" width="30.7265625" style="14" customWidth="1"/>
    <col min="7175" max="7424" width="9.1796875" style="14"/>
    <col min="7425" max="7425" width="10.81640625" style="14" customWidth="1"/>
    <col min="7426" max="7426" width="14.54296875" style="14" customWidth="1"/>
    <col min="7427" max="7427" width="17.453125" style="14" customWidth="1"/>
    <col min="7428" max="7428" width="18.81640625" style="14" customWidth="1"/>
    <col min="7429" max="7429" width="19.26953125" style="14" customWidth="1"/>
    <col min="7430" max="7430" width="30.7265625" style="14" customWidth="1"/>
    <col min="7431" max="7680" width="9.1796875" style="14"/>
    <col min="7681" max="7681" width="10.81640625" style="14" customWidth="1"/>
    <col min="7682" max="7682" width="14.54296875" style="14" customWidth="1"/>
    <col min="7683" max="7683" width="17.453125" style="14" customWidth="1"/>
    <col min="7684" max="7684" width="18.81640625" style="14" customWidth="1"/>
    <col min="7685" max="7685" width="19.26953125" style="14" customWidth="1"/>
    <col min="7686" max="7686" width="30.7265625" style="14" customWidth="1"/>
    <col min="7687" max="7936" width="9.1796875" style="14"/>
    <col min="7937" max="7937" width="10.81640625" style="14" customWidth="1"/>
    <col min="7938" max="7938" width="14.54296875" style="14" customWidth="1"/>
    <col min="7939" max="7939" width="17.453125" style="14" customWidth="1"/>
    <col min="7940" max="7940" width="18.81640625" style="14" customWidth="1"/>
    <col min="7941" max="7941" width="19.26953125" style="14" customWidth="1"/>
    <col min="7942" max="7942" width="30.7265625" style="14" customWidth="1"/>
    <col min="7943" max="8192" width="9.1796875" style="14"/>
    <col min="8193" max="8193" width="10.81640625" style="14" customWidth="1"/>
    <col min="8194" max="8194" width="14.54296875" style="14" customWidth="1"/>
    <col min="8195" max="8195" width="17.453125" style="14" customWidth="1"/>
    <col min="8196" max="8196" width="18.81640625" style="14" customWidth="1"/>
    <col min="8197" max="8197" width="19.26953125" style="14" customWidth="1"/>
    <col min="8198" max="8198" width="30.7265625" style="14" customWidth="1"/>
    <col min="8199" max="8448" width="9.1796875" style="14"/>
    <col min="8449" max="8449" width="10.81640625" style="14" customWidth="1"/>
    <col min="8450" max="8450" width="14.54296875" style="14" customWidth="1"/>
    <col min="8451" max="8451" width="17.453125" style="14" customWidth="1"/>
    <col min="8452" max="8452" width="18.81640625" style="14" customWidth="1"/>
    <col min="8453" max="8453" width="19.26953125" style="14" customWidth="1"/>
    <col min="8454" max="8454" width="30.7265625" style="14" customWidth="1"/>
    <col min="8455" max="8704" width="9.1796875" style="14"/>
    <col min="8705" max="8705" width="10.81640625" style="14" customWidth="1"/>
    <col min="8706" max="8706" width="14.54296875" style="14" customWidth="1"/>
    <col min="8707" max="8707" width="17.453125" style="14" customWidth="1"/>
    <col min="8708" max="8708" width="18.81640625" style="14" customWidth="1"/>
    <col min="8709" max="8709" width="19.26953125" style="14" customWidth="1"/>
    <col min="8710" max="8710" width="30.7265625" style="14" customWidth="1"/>
    <col min="8711" max="8960" width="9.1796875" style="14"/>
    <col min="8961" max="8961" width="10.81640625" style="14" customWidth="1"/>
    <col min="8962" max="8962" width="14.54296875" style="14" customWidth="1"/>
    <col min="8963" max="8963" width="17.453125" style="14" customWidth="1"/>
    <col min="8964" max="8964" width="18.81640625" style="14" customWidth="1"/>
    <col min="8965" max="8965" width="19.26953125" style="14" customWidth="1"/>
    <col min="8966" max="8966" width="30.7265625" style="14" customWidth="1"/>
    <col min="8967" max="9216" width="9.1796875" style="14"/>
    <col min="9217" max="9217" width="10.81640625" style="14" customWidth="1"/>
    <col min="9218" max="9218" width="14.54296875" style="14" customWidth="1"/>
    <col min="9219" max="9219" width="17.453125" style="14" customWidth="1"/>
    <col min="9220" max="9220" width="18.81640625" style="14" customWidth="1"/>
    <col min="9221" max="9221" width="19.26953125" style="14" customWidth="1"/>
    <col min="9222" max="9222" width="30.7265625" style="14" customWidth="1"/>
    <col min="9223" max="9472" width="9.1796875" style="14"/>
    <col min="9473" max="9473" width="10.81640625" style="14" customWidth="1"/>
    <col min="9474" max="9474" width="14.54296875" style="14" customWidth="1"/>
    <col min="9475" max="9475" width="17.453125" style="14" customWidth="1"/>
    <col min="9476" max="9476" width="18.81640625" style="14" customWidth="1"/>
    <col min="9477" max="9477" width="19.26953125" style="14" customWidth="1"/>
    <col min="9478" max="9478" width="30.7265625" style="14" customWidth="1"/>
    <col min="9479" max="9728" width="9.1796875" style="14"/>
    <col min="9729" max="9729" width="10.81640625" style="14" customWidth="1"/>
    <col min="9730" max="9730" width="14.54296875" style="14" customWidth="1"/>
    <col min="9731" max="9731" width="17.453125" style="14" customWidth="1"/>
    <col min="9732" max="9732" width="18.81640625" style="14" customWidth="1"/>
    <col min="9733" max="9733" width="19.26953125" style="14" customWidth="1"/>
    <col min="9734" max="9734" width="30.7265625" style="14" customWidth="1"/>
    <col min="9735" max="9984" width="9.1796875" style="14"/>
    <col min="9985" max="9985" width="10.81640625" style="14" customWidth="1"/>
    <col min="9986" max="9986" width="14.54296875" style="14" customWidth="1"/>
    <col min="9987" max="9987" width="17.453125" style="14" customWidth="1"/>
    <col min="9988" max="9988" width="18.81640625" style="14" customWidth="1"/>
    <col min="9989" max="9989" width="19.26953125" style="14" customWidth="1"/>
    <col min="9990" max="9990" width="30.7265625" style="14" customWidth="1"/>
    <col min="9991" max="10240" width="9.1796875" style="14"/>
    <col min="10241" max="10241" width="10.81640625" style="14" customWidth="1"/>
    <col min="10242" max="10242" width="14.54296875" style="14" customWidth="1"/>
    <col min="10243" max="10243" width="17.453125" style="14" customWidth="1"/>
    <col min="10244" max="10244" width="18.81640625" style="14" customWidth="1"/>
    <col min="10245" max="10245" width="19.26953125" style="14" customWidth="1"/>
    <col min="10246" max="10246" width="30.7265625" style="14" customWidth="1"/>
    <col min="10247" max="10496" width="9.1796875" style="14"/>
    <col min="10497" max="10497" width="10.81640625" style="14" customWidth="1"/>
    <col min="10498" max="10498" width="14.54296875" style="14" customWidth="1"/>
    <col min="10499" max="10499" width="17.453125" style="14" customWidth="1"/>
    <col min="10500" max="10500" width="18.81640625" style="14" customWidth="1"/>
    <col min="10501" max="10501" width="19.26953125" style="14" customWidth="1"/>
    <col min="10502" max="10502" width="30.7265625" style="14" customWidth="1"/>
    <col min="10503" max="10752" width="9.1796875" style="14"/>
    <col min="10753" max="10753" width="10.81640625" style="14" customWidth="1"/>
    <col min="10754" max="10754" width="14.54296875" style="14" customWidth="1"/>
    <col min="10755" max="10755" width="17.453125" style="14" customWidth="1"/>
    <col min="10756" max="10756" width="18.81640625" style="14" customWidth="1"/>
    <col min="10757" max="10757" width="19.26953125" style="14" customWidth="1"/>
    <col min="10758" max="10758" width="30.7265625" style="14" customWidth="1"/>
    <col min="10759" max="11008" width="9.1796875" style="14"/>
    <col min="11009" max="11009" width="10.81640625" style="14" customWidth="1"/>
    <col min="11010" max="11010" width="14.54296875" style="14" customWidth="1"/>
    <col min="11011" max="11011" width="17.453125" style="14" customWidth="1"/>
    <col min="11012" max="11012" width="18.81640625" style="14" customWidth="1"/>
    <col min="11013" max="11013" width="19.26953125" style="14" customWidth="1"/>
    <col min="11014" max="11014" width="30.7265625" style="14" customWidth="1"/>
    <col min="11015" max="11264" width="9.1796875" style="14"/>
    <col min="11265" max="11265" width="10.81640625" style="14" customWidth="1"/>
    <col min="11266" max="11266" width="14.54296875" style="14" customWidth="1"/>
    <col min="11267" max="11267" width="17.453125" style="14" customWidth="1"/>
    <col min="11268" max="11268" width="18.81640625" style="14" customWidth="1"/>
    <col min="11269" max="11269" width="19.26953125" style="14" customWidth="1"/>
    <col min="11270" max="11270" width="30.7265625" style="14" customWidth="1"/>
    <col min="11271" max="11520" width="9.1796875" style="14"/>
    <col min="11521" max="11521" width="10.81640625" style="14" customWidth="1"/>
    <col min="11522" max="11522" width="14.54296875" style="14" customWidth="1"/>
    <col min="11523" max="11523" width="17.453125" style="14" customWidth="1"/>
    <col min="11524" max="11524" width="18.81640625" style="14" customWidth="1"/>
    <col min="11525" max="11525" width="19.26953125" style="14" customWidth="1"/>
    <col min="11526" max="11526" width="30.7265625" style="14" customWidth="1"/>
    <col min="11527" max="11776" width="9.1796875" style="14"/>
    <col min="11777" max="11777" width="10.81640625" style="14" customWidth="1"/>
    <col min="11778" max="11778" width="14.54296875" style="14" customWidth="1"/>
    <col min="11779" max="11779" width="17.453125" style="14" customWidth="1"/>
    <col min="11780" max="11780" width="18.81640625" style="14" customWidth="1"/>
    <col min="11781" max="11781" width="19.26953125" style="14" customWidth="1"/>
    <col min="11782" max="11782" width="30.7265625" style="14" customWidth="1"/>
    <col min="11783" max="12032" width="9.1796875" style="14"/>
    <col min="12033" max="12033" width="10.81640625" style="14" customWidth="1"/>
    <col min="12034" max="12034" width="14.54296875" style="14" customWidth="1"/>
    <col min="12035" max="12035" width="17.453125" style="14" customWidth="1"/>
    <col min="12036" max="12036" width="18.81640625" style="14" customWidth="1"/>
    <col min="12037" max="12037" width="19.26953125" style="14" customWidth="1"/>
    <col min="12038" max="12038" width="30.7265625" style="14" customWidth="1"/>
    <col min="12039" max="12288" width="9.1796875" style="14"/>
    <col min="12289" max="12289" width="10.81640625" style="14" customWidth="1"/>
    <col min="12290" max="12290" width="14.54296875" style="14" customWidth="1"/>
    <col min="12291" max="12291" width="17.453125" style="14" customWidth="1"/>
    <col min="12292" max="12292" width="18.81640625" style="14" customWidth="1"/>
    <col min="12293" max="12293" width="19.26953125" style="14" customWidth="1"/>
    <col min="12294" max="12294" width="30.7265625" style="14" customWidth="1"/>
    <col min="12295" max="12544" width="9.1796875" style="14"/>
    <col min="12545" max="12545" width="10.81640625" style="14" customWidth="1"/>
    <col min="12546" max="12546" width="14.54296875" style="14" customWidth="1"/>
    <col min="12547" max="12547" width="17.453125" style="14" customWidth="1"/>
    <col min="12548" max="12548" width="18.81640625" style="14" customWidth="1"/>
    <col min="12549" max="12549" width="19.26953125" style="14" customWidth="1"/>
    <col min="12550" max="12550" width="30.7265625" style="14" customWidth="1"/>
    <col min="12551" max="12800" width="9.1796875" style="14"/>
    <col min="12801" max="12801" width="10.81640625" style="14" customWidth="1"/>
    <col min="12802" max="12802" width="14.54296875" style="14" customWidth="1"/>
    <col min="12803" max="12803" width="17.453125" style="14" customWidth="1"/>
    <col min="12804" max="12804" width="18.81640625" style="14" customWidth="1"/>
    <col min="12805" max="12805" width="19.26953125" style="14" customWidth="1"/>
    <col min="12806" max="12806" width="30.7265625" style="14" customWidth="1"/>
    <col min="12807" max="13056" width="9.1796875" style="14"/>
    <col min="13057" max="13057" width="10.81640625" style="14" customWidth="1"/>
    <col min="13058" max="13058" width="14.54296875" style="14" customWidth="1"/>
    <col min="13059" max="13059" width="17.453125" style="14" customWidth="1"/>
    <col min="13060" max="13060" width="18.81640625" style="14" customWidth="1"/>
    <col min="13061" max="13061" width="19.26953125" style="14" customWidth="1"/>
    <col min="13062" max="13062" width="30.7265625" style="14" customWidth="1"/>
    <col min="13063" max="13312" width="9.1796875" style="14"/>
    <col min="13313" max="13313" width="10.81640625" style="14" customWidth="1"/>
    <col min="13314" max="13314" width="14.54296875" style="14" customWidth="1"/>
    <col min="13315" max="13315" width="17.453125" style="14" customWidth="1"/>
    <col min="13316" max="13316" width="18.81640625" style="14" customWidth="1"/>
    <col min="13317" max="13317" width="19.26953125" style="14" customWidth="1"/>
    <col min="13318" max="13318" width="30.7265625" style="14" customWidth="1"/>
    <col min="13319" max="13568" width="9.1796875" style="14"/>
    <col min="13569" max="13569" width="10.81640625" style="14" customWidth="1"/>
    <col min="13570" max="13570" width="14.54296875" style="14" customWidth="1"/>
    <col min="13571" max="13571" width="17.453125" style="14" customWidth="1"/>
    <col min="13572" max="13572" width="18.81640625" style="14" customWidth="1"/>
    <col min="13573" max="13573" width="19.26953125" style="14" customWidth="1"/>
    <col min="13574" max="13574" width="30.7265625" style="14" customWidth="1"/>
    <col min="13575" max="13824" width="9.1796875" style="14"/>
    <col min="13825" max="13825" width="10.81640625" style="14" customWidth="1"/>
    <col min="13826" max="13826" width="14.54296875" style="14" customWidth="1"/>
    <col min="13827" max="13827" width="17.453125" style="14" customWidth="1"/>
    <col min="13828" max="13828" width="18.81640625" style="14" customWidth="1"/>
    <col min="13829" max="13829" width="19.26953125" style="14" customWidth="1"/>
    <col min="13830" max="13830" width="30.7265625" style="14" customWidth="1"/>
    <col min="13831" max="14080" width="9.1796875" style="14"/>
    <col min="14081" max="14081" width="10.81640625" style="14" customWidth="1"/>
    <col min="14082" max="14082" width="14.54296875" style="14" customWidth="1"/>
    <col min="14083" max="14083" width="17.453125" style="14" customWidth="1"/>
    <col min="14084" max="14084" width="18.81640625" style="14" customWidth="1"/>
    <col min="14085" max="14085" width="19.26953125" style="14" customWidth="1"/>
    <col min="14086" max="14086" width="30.7265625" style="14" customWidth="1"/>
    <col min="14087" max="14336" width="9.1796875" style="14"/>
    <col min="14337" max="14337" width="10.81640625" style="14" customWidth="1"/>
    <col min="14338" max="14338" width="14.54296875" style="14" customWidth="1"/>
    <col min="14339" max="14339" width="17.453125" style="14" customWidth="1"/>
    <col min="14340" max="14340" width="18.81640625" style="14" customWidth="1"/>
    <col min="14341" max="14341" width="19.26953125" style="14" customWidth="1"/>
    <col min="14342" max="14342" width="30.7265625" style="14" customWidth="1"/>
    <col min="14343" max="14592" width="9.1796875" style="14"/>
    <col min="14593" max="14593" width="10.81640625" style="14" customWidth="1"/>
    <col min="14594" max="14594" width="14.54296875" style="14" customWidth="1"/>
    <col min="14595" max="14595" width="17.453125" style="14" customWidth="1"/>
    <col min="14596" max="14596" width="18.81640625" style="14" customWidth="1"/>
    <col min="14597" max="14597" width="19.26953125" style="14" customWidth="1"/>
    <col min="14598" max="14598" width="30.7265625" style="14" customWidth="1"/>
    <col min="14599" max="14848" width="9.1796875" style="14"/>
    <col min="14849" max="14849" width="10.81640625" style="14" customWidth="1"/>
    <col min="14850" max="14850" width="14.54296875" style="14" customWidth="1"/>
    <col min="14851" max="14851" width="17.453125" style="14" customWidth="1"/>
    <col min="14852" max="14852" width="18.81640625" style="14" customWidth="1"/>
    <col min="14853" max="14853" width="19.26953125" style="14" customWidth="1"/>
    <col min="14854" max="14854" width="30.7265625" style="14" customWidth="1"/>
    <col min="14855" max="15104" width="9.1796875" style="14"/>
    <col min="15105" max="15105" width="10.81640625" style="14" customWidth="1"/>
    <col min="15106" max="15106" width="14.54296875" style="14" customWidth="1"/>
    <col min="15107" max="15107" width="17.453125" style="14" customWidth="1"/>
    <col min="15108" max="15108" width="18.81640625" style="14" customWidth="1"/>
    <col min="15109" max="15109" width="19.26953125" style="14" customWidth="1"/>
    <col min="15110" max="15110" width="30.7265625" style="14" customWidth="1"/>
    <col min="15111" max="15360" width="9.1796875" style="14"/>
    <col min="15361" max="15361" width="10.81640625" style="14" customWidth="1"/>
    <col min="15362" max="15362" width="14.54296875" style="14" customWidth="1"/>
    <col min="15363" max="15363" width="17.453125" style="14" customWidth="1"/>
    <col min="15364" max="15364" width="18.81640625" style="14" customWidth="1"/>
    <col min="15365" max="15365" width="19.26953125" style="14" customWidth="1"/>
    <col min="15366" max="15366" width="30.7265625" style="14" customWidth="1"/>
    <col min="15367" max="15616" width="9.1796875" style="14"/>
    <col min="15617" max="15617" width="10.81640625" style="14" customWidth="1"/>
    <col min="15618" max="15618" width="14.54296875" style="14" customWidth="1"/>
    <col min="15619" max="15619" width="17.453125" style="14" customWidth="1"/>
    <col min="15620" max="15620" width="18.81640625" style="14" customWidth="1"/>
    <col min="15621" max="15621" width="19.26953125" style="14" customWidth="1"/>
    <col min="15622" max="15622" width="30.7265625" style="14" customWidth="1"/>
    <col min="15623" max="15872" width="9.1796875" style="14"/>
    <col min="15873" max="15873" width="10.81640625" style="14" customWidth="1"/>
    <col min="15874" max="15874" width="14.54296875" style="14" customWidth="1"/>
    <col min="15875" max="15875" width="17.453125" style="14" customWidth="1"/>
    <col min="15876" max="15876" width="18.81640625" style="14" customWidth="1"/>
    <col min="15877" max="15877" width="19.26953125" style="14" customWidth="1"/>
    <col min="15878" max="15878" width="30.7265625" style="14" customWidth="1"/>
    <col min="15879" max="16128" width="9.1796875" style="14"/>
    <col min="16129" max="16129" width="10.81640625" style="14" customWidth="1"/>
    <col min="16130" max="16130" width="14.54296875" style="14" customWidth="1"/>
    <col min="16131" max="16131" width="17.453125" style="14" customWidth="1"/>
    <col min="16132" max="16132" width="18.81640625" style="14" customWidth="1"/>
    <col min="16133" max="16133" width="19.26953125" style="14" customWidth="1"/>
    <col min="16134" max="16134" width="30.7265625" style="14" customWidth="1"/>
    <col min="16135" max="16384" width="9.1796875" style="14"/>
  </cols>
  <sheetData>
    <row r="1" spans="1:256" ht="55" customHeight="1">
      <c r="A1" s="12"/>
      <c r="B1" s="12"/>
      <c r="C1" s="13"/>
      <c r="D1" s="13"/>
      <c r="E1" s="12"/>
      <c r="F1" s="12"/>
      <c r="G1" s="13"/>
      <c r="H1" s="13"/>
      <c r="I1" s="12"/>
      <c r="J1" s="12"/>
      <c r="K1" s="13"/>
      <c r="L1" s="13"/>
      <c r="M1" s="12"/>
      <c r="N1" s="12"/>
      <c r="O1" s="13"/>
      <c r="P1" s="13"/>
      <c r="Q1" s="12"/>
      <c r="R1" s="12"/>
      <c r="S1" s="13"/>
      <c r="T1" s="13"/>
      <c r="U1" s="12"/>
      <c r="V1" s="12"/>
      <c r="W1" s="13"/>
      <c r="X1" s="13"/>
      <c r="Y1" s="12"/>
      <c r="Z1" s="12"/>
      <c r="AA1" s="13"/>
      <c r="AB1" s="13"/>
      <c r="AC1" s="12"/>
      <c r="AD1" s="12"/>
      <c r="AE1" s="13"/>
      <c r="AF1" s="13"/>
      <c r="AG1" s="12"/>
      <c r="AH1" s="12"/>
      <c r="AI1" s="13"/>
      <c r="AJ1" s="13"/>
      <c r="AK1" s="12"/>
      <c r="AL1" s="12"/>
      <c r="AM1" s="13"/>
      <c r="AN1" s="13"/>
      <c r="AO1" s="12"/>
      <c r="AP1" s="12"/>
      <c r="AQ1" s="13"/>
      <c r="AR1" s="13"/>
      <c r="AS1" s="12"/>
      <c r="AT1" s="12"/>
      <c r="AU1" s="13"/>
      <c r="AV1" s="13"/>
      <c r="AW1" s="12"/>
      <c r="AX1" s="12"/>
      <c r="AY1" s="13"/>
      <c r="AZ1" s="13"/>
      <c r="BA1" s="12"/>
      <c r="BB1" s="12"/>
      <c r="BC1" s="13"/>
      <c r="BD1" s="13"/>
      <c r="BE1" s="12"/>
      <c r="BF1" s="12"/>
      <c r="BG1" s="13"/>
      <c r="BH1" s="13"/>
      <c r="BI1" s="12"/>
      <c r="BJ1" s="12"/>
      <c r="BK1" s="13"/>
      <c r="BL1" s="13"/>
      <c r="BM1" s="12"/>
      <c r="BN1" s="12"/>
      <c r="BO1" s="13"/>
      <c r="BP1" s="13"/>
      <c r="BQ1" s="12"/>
      <c r="BR1" s="12"/>
      <c r="BS1" s="13"/>
      <c r="BT1" s="13"/>
      <c r="BU1" s="12"/>
      <c r="BV1" s="12"/>
      <c r="BW1" s="13"/>
      <c r="BX1" s="13"/>
      <c r="BY1" s="12"/>
      <c r="BZ1" s="12"/>
      <c r="CA1" s="13"/>
      <c r="CB1" s="13"/>
      <c r="CC1" s="12"/>
      <c r="CD1" s="12"/>
      <c r="CE1" s="13"/>
      <c r="CF1" s="13"/>
      <c r="CG1" s="12"/>
      <c r="CH1" s="12"/>
      <c r="CI1" s="13"/>
      <c r="CJ1" s="13"/>
      <c r="CK1" s="12"/>
      <c r="CL1" s="12"/>
      <c r="CM1" s="13"/>
      <c r="CN1" s="13"/>
      <c r="CO1" s="12"/>
      <c r="CP1" s="12"/>
      <c r="CQ1" s="13"/>
      <c r="CR1" s="13"/>
      <c r="CS1" s="12"/>
      <c r="CT1" s="12"/>
      <c r="CU1" s="13"/>
      <c r="CV1" s="13"/>
      <c r="CW1" s="12"/>
      <c r="CX1" s="12"/>
      <c r="CY1" s="13"/>
      <c r="CZ1" s="13"/>
      <c r="DA1" s="12"/>
      <c r="DB1" s="12"/>
      <c r="DC1" s="13"/>
      <c r="DD1" s="13"/>
      <c r="DE1" s="12"/>
      <c r="DF1" s="12"/>
      <c r="DG1" s="13"/>
      <c r="DH1" s="13"/>
      <c r="DI1" s="12"/>
      <c r="DJ1" s="12"/>
      <c r="DK1" s="13"/>
      <c r="DL1" s="13"/>
      <c r="DM1" s="12"/>
      <c r="DN1" s="12"/>
      <c r="DO1" s="13"/>
      <c r="DP1" s="13"/>
      <c r="DQ1" s="12"/>
      <c r="DR1" s="12"/>
      <c r="DS1" s="13"/>
      <c r="DT1" s="13"/>
      <c r="DU1" s="12"/>
      <c r="DV1" s="12"/>
      <c r="DW1" s="13"/>
      <c r="DX1" s="13"/>
      <c r="DY1" s="12"/>
      <c r="DZ1" s="12"/>
      <c r="EA1" s="13"/>
      <c r="EB1" s="13"/>
      <c r="EC1" s="12"/>
      <c r="ED1" s="12"/>
      <c r="EE1" s="13"/>
      <c r="EF1" s="13"/>
      <c r="EG1" s="12"/>
      <c r="EH1" s="12"/>
      <c r="EI1" s="13"/>
      <c r="EJ1" s="13"/>
      <c r="EK1" s="12"/>
      <c r="EL1" s="12"/>
      <c r="EM1" s="13"/>
      <c r="EN1" s="13"/>
      <c r="EO1" s="12"/>
      <c r="EP1" s="12"/>
      <c r="EQ1" s="13"/>
      <c r="ER1" s="13"/>
      <c r="ES1" s="12"/>
      <c r="ET1" s="12"/>
      <c r="EU1" s="13"/>
      <c r="EV1" s="13"/>
      <c r="EW1" s="12"/>
      <c r="EX1" s="12"/>
      <c r="EY1" s="13"/>
      <c r="EZ1" s="13"/>
      <c r="FA1" s="12"/>
      <c r="FB1" s="12"/>
      <c r="FC1" s="13"/>
      <c r="FD1" s="13"/>
      <c r="FE1" s="12"/>
      <c r="FF1" s="12"/>
      <c r="FG1" s="13"/>
      <c r="FH1" s="13"/>
      <c r="FI1" s="12"/>
      <c r="FJ1" s="12"/>
      <c r="FK1" s="13"/>
      <c r="FL1" s="13"/>
      <c r="FM1" s="12"/>
      <c r="FN1" s="12"/>
      <c r="FO1" s="13"/>
      <c r="FP1" s="13"/>
      <c r="FQ1" s="12"/>
      <c r="FR1" s="12"/>
      <c r="FS1" s="13"/>
      <c r="FT1" s="13"/>
      <c r="FU1" s="12"/>
      <c r="FV1" s="12"/>
      <c r="FW1" s="13"/>
      <c r="FX1" s="13"/>
      <c r="FY1" s="12"/>
      <c r="FZ1" s="12"/>
      <c r="GA1" s="13"/>
      <c r="GB1" s="13"/>
      <c r="GC1" s="12"/>
      <c r="GD1" s="12"/>
      <c r="GE1" s="13"/>
      <c r="GF1" s="13"/>
      <c r="GG1" s="12"/>
      <c r="GH1" s="12"/>
      <c r="GI1" s="13"/>
      <c r="GJ1" s="13"/>
      <c r="GK1" s="12"/>
      <c r="GL1" s="12"/>
      <c r="GM1" s="13"/>
      <c r="GN1" s="13"/>
      <c r="GO1" s="12"/>
      <c r="GP1" s="12"/>
      <c r="GQ1" s="13"/>
      <c r="GR1" s="13"/>
      <c r="GS1" s="12"/>
      <c r="GT1" s="12"/>
      <c r="GU1" s="13"/>
      <c r="GV1" s="13"/>
      <c r="GW1" s="12"/>
      <c r="GX1" s="12"/>
      <c r="GY1" s="13"/>
      <c r="GZ1" s="13"/>
      <c r="HA1" s="12"/>
      <c r="HB1" s="12"/>
      <c r="HC1" s="13"/>
      <c r="HD1" s="13"/>
      <c r="HE1" s="12"/>
      <c r="HF1" s="12"/>
      <c r="HG1" s="13"/>
      <c r="HH1" s="13"/>
      <c r="HI1" s="12"/>
      <c r="HJ1" s="12"/>
      <c r="HK1" s="13"/>
      <c r="HL1" s="13"/>
      <c r="HM1" s="12"/>
      <c r="HN1" s="12"/>
      <c r="HO1" s="13"/>
      <c r="HP1" s="13"/>
      <c r="HQ1" s="12"/>
      <c r="HR1" s="12"/>
      <c r="HS1" s="13"/>
      <c r="HT1" s="13"/>
      <c r="HU1" s="12"/>
      <c r="HV1" s="12"/>
      <c r="HW1" s="13"/>
      <c r="HX1" s="13"/>
      <c r="HY1" s="12"/>
      <c r="HZ1" s="12"/>
      <c r="IA1" s="13"/>
      <c r="IB1" s="13"/>
      <c r="IC1" s="12"/>
      <c r="ID1" s="12"/>
      <c r="IE1" s="13"/>
      <c r="IF1" s="13"/>
      <c r="IG1" s="12"/>
      <c r="IH1" s="12"/>
      <c r="II1" s="13"/>
      <c r="IJ1" s="13"/>
      <c r="IK1" s="12"/>
      <c r="IL1" s="12"/>
      <c r="IM1" s="13"/>
      <c r="IN1" s="13"/>
      <c r="IO1" s="12"/>
      <c r="IP1" s="12"/>
      <c r="IQ1" s="13"/>
      <c r="IR1" s="13"/>
      <c r="IS1" s="12"/>
      <c r="IT1" s="12"/>
      <c r="IU1" s="13"/>
      <c r="IV1" s="13"/>
    </row>
    <row r="2" spans="1:256" ht="55" customHeight="1">
      <c r="A2" s="15" t="s">
        <v>104</v>
      </c>
      <c r="B2" s="15" t="s">
        <v>105</v>
      </c>
      <c r="C2" s="15" t="s">
        <v>106</v>
      </c>
      <c r="D2" s="15" t="s">
        <v>107</v>
      </c>
      <c r="E2" s="15" t="s">
        <v>108</v>
      </c>
      <c r="F2" s="15" t="s">
        <v>109</v>
      </c>
    </row>
    <row r="3" spans="1:256" ht="31.5" customHeight="1">
      <c r="A3" s="16" t="s">
        <v>110</v>
      </c>
      <c r="B3" s="17"/>
      <c r="C3" s="18"/>
      <c r="D3" s="18"/>
      <c r="E3" s="18"/>
      <c r="F3" s="19" t="s">
        <v>111</v>
      </c>
    </row>
    <row r="4" spans="1:256" ht="31.5" customHeight="1">
      <c r="A4" s="16"/>
      <c r="B4" s="17"/>
      <c r="C4" s="18"/>
      <c r="D4" s="18"/>
      <c r="E4" s="18"/>
      <c r="F4" s="19"/>
    </row>
    <row r="5" spans="1:256" ht="20.149999999999999" customHeight="1">
      <c r="A5" s="16"/>
      <c r="B5" s="17"/>
      <c r="C5" s="18"/>
      <c r="D5" s="18"/>
      <c r="E5" s="18"/>
      <c r="F5" s="19"/>
    </row>
    <row r="6" spans="1:256" ht="20.149999999999999" customHeight="1">
      <c r="A6" s="16"/>
      <c r="B6" s="17"/>
      <c r="C6" s="18"/>
      <c r="D6" s="18"/>
      <c r="E6" s="18"/>
      <c r="F6" s="19"/>
    </row>
    <row r="7" spans="1:256" ht="20.149999999999999" customHeight="1">
      <c r="A7" s="16"/>
      <c r="B7" s="17"/>
      <c r="C7" s="18"/>
      <c r="D7" s="18"/>
      <c r="E7" s="18"/>
      <c r="F7" s="19"/>
    </row>
    <row r="8" spans="1:256" ht="20.149999999999999" customHeight="1">
      <c r="A8" s="16"/>
      <c r="B8" s="17"/>
      <c r="C8" s="18"/>
      <c r="D8" s="18"/>
      <c r="E8" s="18"/>
      <c r="F8" s="19"/>
    </row>
    <row r="9" spans="1:256" ht="20.149999999999999" customHeight="1">
      <c r="A9" s="16"/>
      <c r="B9" s="17"/>
      <c r="C9" s="18"/>
      <c r="D9" s="18"/>
      <c r="E9" s="18"/>
      <c r="F9" s="19"/>
    </row>
    <row r="10" spans="1:256" ht="20.149999999999999" customHeight="1">
      <c r="A10" s="16"/>
      <c r="B10" s="17"/>
      <c r="C10" s="18"/>
      <c r="D10" s="18"/>
      <c r="E10" s="18"/>
      <c r="F10" s="19"/>
    </row>
    <row r="11" spans="1:256" ht="20.149999999999999" customHeight="1">
      <c r="A11" s="16"/>
      <c r="B11" s="17"/>
      <c r="C11" s="18"/>
      <c r="D11" s="18"/>
      <c r="E11" s="18"/>
      <c r="F11" s="19"/>
    </row>
  </sheetData>
  <pageMargins left="0.23622047244094491" right="0.23622047244094491" top="0.23622047244094491" bottom="0.23622047244094491" header="0.31496062992125984" footer="0.31496062992125984"/>
  <pageSetup paperSize="9" scale="90" fitToHeight="0" orientation="portrait" verticalDpi="0" r:id="rId1"/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4:AK241"/>
  <sheetViews>
    <sheetView showGridLines="0" zoomScaleNormal="100" workbookViewId="0"/>
  </sheetViews>
  <sheetFormatPr defaultRowHeight="20.149999999999999" customHeight="1"/>
  <cols>
    <col min="1" max="1" width="9.1796875" style="14"/>
    <col min="2" max="2" width="9.26953125" style="14" bestFit="1" customWidth="1"/>
    <col min="3" max="3" width="9.1796875" style="14"/>
    <col min="4" max="6" width="9.26953125" style="14" bestFit="1" customWidth="1"/>
    <col min="7" max="7" width="9.1796875" style="14"/>
    <col min="8" max="8" width="9.26953125" style="14" bestFit="1" customWidth="1"/>
    <col min="9" max="10" width="9.1796875" style="14"/>
    <col min="11" max="11" width="9.26953125" style="14" bestFit="1" customWidth="1"/>
    <col min="12" max="12" width="9.1796875" style="14"/>
    <col min="13" max="13" width="9.26953125" style="14" bestFit="1" customWidth="1"/>
    <col min="14" max="14" width="12.453125" style="14" customWidth="1"/>
    <col min="15" max="15" width="10.7265625" style="14" customWidth="1"/>
    <col min="16" max="16" width="12.453125" style="14" bestFit="1" customWidth="1"/>
    <col min="17" max="17" width="10.26953125" style="14" bestFit="1" customWidth="1"/>
    <col min="18" max="18" width="13.1796875" style="14" bestFit="1" customWidth="1"/>
    <col min="19" max="19" width="12.453125" style="14" bestFit="1" customWidth="1"/>
    <col min="20" max="257" width="9.1796875" style="14"/>
    <col min="258" max="258" width="9.26953125" style="14" bestFit="1" customWidth="1"/>
    <col min="259" max="259" width="9.1796875" style="14"/>
    <col min="260" max="262" width="9.26953125" style="14" bestFit="1" customWidth="1"/>
    <col min="263" max="263" width="9.1796875" style="14"/>
    <col min="264" max="264" width="9.26953125" style="14" bestFit="1" customWidth="1"/>
    <col min="265" max="266" width="9.1796875" style="14"/>
    <col min="267" max="267" width="9.26953125" style="14" bestFit="1" customWidth="1"/>
    <col min="268" max="268" width="9.1796875" style="14"/>
    <col min="269" max="269" width="9.26953125" style="14" bestFit="1" customWidth="1"/>
    <col min="270" max="270" width="12.453125" style="14" customWidth="1"/>
    <col min="271" max="271" width="10.7265625" style="14" customWidth="1"/>
    <col min="272" max="272" width="12.453125" style="14" bestFit="1" customWidth="1"/>
    <col min="273" max="273" width="10.26953125" style="14" bestFit="1" customWidth="1"/>
    <col min="274" max="274" width="13.1796875" style="14" bestFit="1" customWidth="1"/>
    <col min="275" max="275" width="12.453125" style="14" bestFit="1" customWidth="1"/>
    <col min="276" max="513" width="9.1796875" style="14"/>
    <col min="514" max="514" width="9.26953125" style="14" bestFit="1" customWidth="1"/>
    <col min="515" max="515" width="9.1796875" style="14"/>
    <col min="516" max="518" width="9.26953125" style="14" bestFit="1" customWidth="1"/>
    <col min="519" max="519" width="9.1796875" style="14"/>
    <col min="520" max="520" width="9.26953125" style="14" bestFit="1" customWidth="1"/>
    <col min="521" max="522" width="9.1796875" style="14"/>
    <col min="523" max="523" width="9.26953125" style="14" bestFit="1" customWidth="1"/>
    <col min="524" max="524" width="9.1796875" style="14"/>
    <col min="525" max="525" width="9.26953125" style="14" bestFit="1" customWidth="1"/>
    <col min="526" max="526" width="12.453125" style="14" customWidth="1"/>
    <col min="527" max="527" width="10.7265625" style="14" customWidth="1"/>
    <col min="528" max="528" width="12.453125" style="14" bestFit="1" customWidth="1"/>
    <col min="529" max="529" width="10.26953125" style="14" bestFit="1" customWidth="1"/>
    <col min="530" max="530" width="13.1796875" style="14" bestFit="1" customWidth="1"/>
    <col min="531" max="531" width="12.453125" style="14" bestFit="1" customWidth="1"/>
    <col min="532" max="769" width="9.1796875" style="14"/>
    <col min="770" max="770" width="9.26953125" style="14" bestFit="1" customWidth="1"/>
    <col min="771" max="771" width="9.1796875" style="14"/>
    <col min="772" max="774" width="9.26953125" style="14" bestFit="1" customWidth="1"/>
    <col min="775" max="775" width="9.1796875" style="14"/>
    <col min="776" max="776" width="9.26953125" style="14" bestFit="1" customWidth="1"/>
    <col min="777" max="778" width="9.1796875" style="14"/>
    <col min="779" max="779" width="9.26953125" style="14" bestFit="1" customWidth="1"/>
    <col min="780" max="780" width="9.1796875" style="14"/>
    <col min="781" max="781" width="9.26953125" style="14" bestFit="1" customWidth="1"/>
    <col min="782" max="782" width="12.453125" style="14" customWidth="1"/>
    <col min="783" max="783" width="10.7265625" style="14" customWidth="1"/>
    <col min="784" max="784" width="12.453125" style="14" bestFit="1" customWidth="1"/>
    <col min="785" max="785" width="10.26953125" style="14" bestFit="1" customWidth="1"/>
    <col min="786" max="786" width="13.1796875" style="14" bestFit="1" customWidth="1"/>
    <col min="787" max="787" width="12.453125" style="14" bestFit="1" customWidth="1"/>
    <col min="788" max="1025" width="9.1796875" style="14"/>
    <col min="1026" max="1026" width="9.26953125" style="14" bestFit="1" customWidth="1"/>
    <col min="1027" max="1027" width="9.1796875" style="14"/>
    <col min="1028" max="1030" width="9.26953125" style="14" bestFit="1" customWidth="1"/>
    <col min="1031" max="1031" width="9.1796875" style="14"/>
    <col min="1032" max="1032" width="9.26953125" style="14" bestFit="1" customWidth="1"/>
    <col min="1033" max="1034" width="9.1796875" style="14"/>
    <col min="1035" max="1035" width="9.26953125" style="14" bestFit="1" customWidth="1"/>
    <col min="1036" max="1036" width="9.1796875" style="14"/>
    <col min="1037" max="1037" width="9.26953125" style="14" bestFit="1" customWidth="1"/>
    <col min="1038" max="1038" width="12.453125" style="14" customWidth="1"/>
    <col min="1039" max="1039" width="10.7265625" style="14" customWidth="1"/>
    <col min="1040" max="1040" width="12.453125" style="14" bestFit="1" customWidth="1"/>
    <col min="1041" max="1041" width="10.26953125" style="14" bestFit="1" customWidth="1"/>
    <col min="1042" max="1042" width="13.1796875" style="14" bestFit="1" customWidth="1"/>
    <col min="1043" max="1043" width="12.453125" style="14" bestFit="1" customWidth="1"/>
    <col min="1044" max="1281" width="9.1796875" style="14"/>
    <col min="1282" max="1282" width="9.26953125" style="14" bestFit="1" customWidth="1"/>
    <col min="1283" max="1283" width="9.1796875" style="14"/>
    <col min="1284" max="1286" width="9.26953125" style="14" bestFit="1" customWidth="1"/>
    <col min="1287" max="1287" width="9.1796875" style="14"/>
    <col min="1288" max="1288" width="9.26953125" style="14" bestFit="1" customWidth="1"/>
    <col min="1289" max="1290" width="9.1796875" style="14"/>
    <col min="1291" max="1291" width="9.26953125" style="14" bestFit="1" customWidth="1"/>
    <col min="1292" max="1292" width="9.1796875" style="14"/>
    <col min="1293" max="1293" width="9.26953125" style="14" bestFit="1" customWidth="1"/>
    <col min="1294" max="1294" width="12.453125" style="14" customWidth="1"/>
    <col min="1295" max="1295" width="10.7265625" style="14" customWidth="1"/>
    <col min="1296" max="1296" width="12.453125" style="14" bestFit="1" customWidth="1"/>
    <col min="1297" max="1297" width="10.26953125" style="14" bestFit="1" customWidth="1"/>
    <col min="1298" max="1298" width="13.1796875" style="14" bestFit="1" customWidth="1"/>
    <col min="1299" max="1299" width="12.453125" style="14" bestFit="1" customWidth="1"/>
    <col min="1300" max="1537" width="9.1796875" style="14"/>
    <col min="1538" max="1538" width="9.26953125" style="14" bestFit="1" customWidth="1"/>
    <col min="1539" max="1539" width="9.1796875" style="14"/>
    <col min="1540" max="1542" width="9.26953125" style="14" bestFit="1" customWidth="1"/>
    <col min="1543" max="1543" width="9.1796875" style="14"/>
    <col min="1544" max="1544" width="9.26953125" style="14" bestFit="1" customWidth="1"/>
    <col min="1545" max="1546" width="9.1796875" style="14"/>
    <col min="1547" max="1547" width="9.26953125" style="14" bestFit="1" customWidth="1"/>
    <col min="1548" max="1548" width="9.1796875" style="14"/>
    <col min="1549" max="1549" width="9.26953125" style="14" bestFit="1" customWidth="1"/>
    <col min="1550" max="1550" width="12.453125" style="14" customWidth="1"/>
    <col min="1551" max="1551" width="10.7265625" style="14" customWidth="1"/>
    <col min="1552" max="1552" width="12.453125" style="14" bestFit="1" customWidth="1"/>
    <col min="1553" max="1553" width="10.26953125" style="14" bestFit="1" customWidth="1"/>
    <col min="1554" max="1554" width="13.1796875" style="14" bestFit="1" customWidth="1"/>
    <col min="1555" max="1555" width="12.453125" style="14" bestFit="1" customWidth="1"/>
    <col min="1556" max="1793" width="9.1796875" style="14"/>
    <col min="1794" max="1794" width="9.26953125" style="14" bestFit="1" customWidth="1"/>
    <col min="1795" max="1795" width="9.1796875" style="14"/>
    <col min="1796" max="1798" width="9.26953125" style="14" bestFit="1" customWidth="1"/>
    <col min="1799" max="1799" width="9.1796875" style="14"/>
    <col min="1800" max="1800" width="9.26953125" style="14" bestFit="1" customWidth="1"/>
    <col min="1801" max="1802" width="9.1796875" style="14"/>
    <col min="1803" max="1803" width="9.26953125" style="14" bestFit="1" customWidth="1"/>
    <col min="1804" max="1804" width="9.1796875" style="14"/>
    <col min="1805" max="1805" width="9.26953125" style="14" bestFit="1" customWidth="1"/>
    <col min="1806" max="1806" width="12.453125" style="14" customWidth="1"/>
    <col min="1807" max="1807" width="10.7265625" style="14" customWidth="1"/>
    <col min="1808" max="1808" width="12.453125" style="14" bestFit="1" customWidth="1"/>
    <col min="1809" max="1809" width="10.26953125" style="14" bestFit="1" customWidth="1"/>
    <col min="1810" max="1810" width="13.1796875" style="14" bestFit="1" customWidth="1"/>
    <col min="1811" max="1811" width="12.453125" style="14" bestFit="1" customWidth="1"/>
    <col min="1812" max="2049" width="9.1796875" style="14"/>
    <col min="2050" max="2050" width="9.26953125" style="14" bestFit="1" customWidth="1"/>
    <col min="2051" max="2051" width="9.1796875" style="14"/>
    <col min="2052" max="2054" width="9.26953125" style="14" bestFit="1" customWidth="1"/>
    <col min="2055" max="2055" width="9.1796875" style="14"/>
    <col min="2056" max="2056" width="9.26953125" style="14" bestFit="1" customWidth="1"/>
    <col min="2057" max="2058" width="9.1796875" style="14"/>
    <col min="2059" max="2059" width="9.26953125" style="14" bestFit="1" customWidth="1"/>
    <col min="2060" max="2060" width="9.1796875" style="14"/>
    <col min="2061" max="2061" width="9.26953125" style="14" bestFit="1" customWidth="1"/>
    <col min="2062" max="2062" width="12.453125" style="14" customWidth="1"/>
    <col min="2063" max="2063" width="10.7265625" style="14" customWidth="1"/>
    <col min="2064" max="2064" width="12.453125" style="14" bestFit="1" customWidth="1"/>
    <col min="2065" max="2065" width="10.26953125" style="14" bestFit="1" customWidth="1"/>
    <col min="2066" max="2066" width="13.1796875" style="14" bestFit="1" customWidth="1"/>
    <col min="2067" max="2067" width="12.453125" style="14" bestFit="1" customWidth="1"/>
    <col min="2068" max="2305" width="9.1796875" style="14"/>
    <col min="2306" max="2306" width="9.26953125" style="14" bestFit="1" customWidth="1"/>
    <col min="2307" max="2307" width="9.1796875" style="14"/>
    <col min="2308" max="2310" width="9.26953125" style="14" bestFit="1" customWidth="1"/>
    <col min="2311" max="2311" width="9.1796875" style="14"/>
    <col min="2312" max="2312" width="9.26953125" style="14" bestFit="1" customWidth="1"/>
    <col min="2313" max="2314" width="9.1796875" style="14"/>
    <col min="2315" max="2315" width="9.26953125" style="14" bestFit="1" customWidth="1"/>
    <col min="2316" max="2316" width="9.1796875" style="14"/>
    <col min="2317" max="2317" width="9.26953125" style="14" bestFit="1" customWidth="1"/>
    <col min="2318" max="2318" width="12.453125" style="14" customWidth="1"/>
    <col min="2319" max="2319" width="10.7265625" style="14" customWidth="1"/>
    <col min="2320" max="2320" width="12.453125" style="14" bestFit="1" customWidth="1"/>
    <col min="2321" max="2321" width="10.26953125" style="14" bestFit="1" customWidth="1"/>
    <col min="2322" max="2322" width="13.1796875" style="14" bestFit="1" customWidth="1"/>
    <col min="2323" max="2323" width="12.453125" style="14" bestFit="1" customWidth="1"/>
    <col min="2324" max="2561" width="9.1796875" style="14"/>
    <col min="2562" max="2562" width="9.26953125" style="14" bestFit="1" customWidth="1"/>
    <col min="2563" max="2563" width="9.1796875" style="14"/>
    <col min="2564" max="2566" width="9.26953125" style="14" bestFit="1" customWidth="1"/>
    <col min="2567" max="2567" width="9.1796875" style="14"/>
    <col min="2568" max="2568" width="9.26953125" style="14" bestFit="1" customWidth="1"/>
    <col min="2569" max="2570" width="9.1796875" style="14"/>
    <col min="2571" max="2571" width="9.26953125" style="14" bestFit="1" customWidth="1"/>
    <col min="2572" max="2572" width="9.1796875" style="14"/>
    <col min="2573" max="2573" width="9.26953125" style="14" bestFit="1" customWidth="1"/>
    <col min="2574" max="2574" width="12.453125" style="14" customWidth="1"/>
    <col min="2575" max="2575" width="10.7265625" style="14" customWidth="1"/>
    <col min="2576" max="2576" width="12.453125" style="14" bestFit="1" customWidth="1"/>
    <col min="2577" max="2577" width="10.26953125" style="14" bestFit="1" customWidth="1"/>
    <col min="2578" max="2578" width="13.1796875" style="14" bestFit="1" customWidth="1"/>
    <col min="2579" max="2579" width="12.453125" style="14" bestFit="1" customWidth="1"/>
    <col min="2580" max="2817" width="9.1796875" style="14"/>
    <col min="2818" max="2818" width="9.26953125" style="14" bestFit="1" customWidth="1"/>
    <col min="2819" max="2819" width="9.1796875" style="14"/>
    <col min="2820" max="2822" width="9.26953125" style="14" bestFit="1" customWidth="1"/>
    <col min="2823" max="2823" width="9.1796875" style="14"/>
    <col min="2824" max="2824" width="9.26953125" style="14" bestFit="1" customWidth="1"/>
    <col min="2825" max="2826" width="9.1796875" style="14"/>
    <col min="2827" max="2827" width="9.26953125" style="14" bestFit="1" customWidth="1"/>
    <col min="2828" max="2828" width="9.1796875" style="14"/>
    <col min="2829" max="2829" width="9.26953125" style="14" bestFit="1" customWidth="1"/>
    <col min="2830" max="2830" width="12.453125" style="14" customWidth="1"/>
    <col min="2831" max="2831" width="10.7265625" style="14" customWidth="1"/>
    <col min="2832" max="2832" width="12.453125" style="14" bestFit="1" customWidth="1"/>
    <col min="2833" max="2833" width="10.26953125" style="14" bestFit="1" customWidth="1"/>
    <col min="2834" max="2834" width="13.1796875" style="14" bestFit="1" customWidth="1"/>
    <col min="2835" max="2835" width="12.453125" style="14" bestFit="1" customWidth="1"/>
    <col min="2836" max="3073" width="9.1796875" style="14"/>
    <col min="3074" max="3074" width="9.26953125" style="14" bestFit="1" customWidth="1"/>
    <col min="3075" max="3075" width="9.1796875" style="14"/>
    <col min="3076" max="3078" width="9.26953125" style="14" bestFit="1" customWidth="1"/>
    <col min="3079" max="3079" width="9.1796875" style="14"/>
    <col min="3080" max="3080" width="9.26953125" style="14" bestFit="1" customWidth="1"/>
    <col min="3081" max="3082" width="9.1796875" style="14"/>
    <col min="3083" max="3083" width="9.26953125" style="14" bestFit="1" customWidth="1"/>
    <col min="3084" max="3084" width="9.1796875" style="14"/>
    <col min="3085" max="3085" width="9.26953125" style="14" bestFit="1" customWidth="1"/>
    <col min="3086" max="3086" width="12.453125" style="14" customWidth="1"/>
    <col min="3087" max="3087" width="10.7265625" style="14" customWidth="1"/>
    <col min="3088" max="3088" width="12.453125" style="14" bestFit="1" customWidth="1"/>
    <col min="3089" max="3089" width="10.26953125" style="14" bestFit="1" customWidth="1"/>
    <col min="3090" max="3090" width="13.1796875" style="14" bestFit="1" customWidth="1"/>
    <col min="3091" max="3091" width="12.453125" style="14" bestFit="1" customWidth="1"/>
    <col min="3092" max="3329" width="9.1796875" style="14"/>
    <col min="3330" max="3330" width="9.26953125" style="14" bestFit="1" customWidth="1"/>
    <col min="3331" max="3331" width="9.1796875" style="14"/>
    <col min="3332" max="3334" width="9.26953125" style="14" bestFit="1" customWidth="1"/>
    <col min="3335" max="3335" width="9.1796875" style="14"/>
    <col min="3336" max="3336" width="9.26953125" style="14" bestFit="1" customWidth="1"/>
    <col min="3337" max="3338" width="9.1796875" style="14"/>
    <col min="3339" max="3339" width="9.26953125" style="14" bestFit="1" customWidth="1"/>
    <col min="3340" max="3340" width="9.1796875" style="14"/>
    <col min="3341" max="3341" width="9.26953125" style="14" bestFit="1" customWidth="1"/>
    <col min="3342" max="3342" width="12.453125" style="14" customWidth="1"/>
    <col min="3343" max="3343" width="10.7265625" style="14" customWidth="1"/>
    <col min="3344" max="3344" width="12.453125" style="14" bestFit="1" customWidth="1"/>
    <col min="3345" max="3345" width="10.26953125" style="14" bestFit="1" customWidth="1"/>
    <col min="3346" max="3346" width="13.1796875" style="14" bestFit="1" customWidth="1"/>
    <col min="3347" max="3347" width="12.453125" style="14" bestFit="1" customWidth="1"/>
    <col min="3348" max="3585" width="9.1796875" style="14"/>
    <col min="3586" max="3586" width="9.26953125" style="14" bestFit="1" customWidth="1"/>
    <col min="3587" max="3587" width="9.1796875" style="14"/>
    <col min="3588" max="3590" width="9.26953125" style="14" bestFit="1" customWidth="1"/>
    <col min="3591" max="3591" width="9.1796875" style="14"/>
    <col min="3592" max="3592" width="9.26953125" style="14" bestFit="1" customWidth="1"/>
    <col min="3593" max="3594" width="9.1796875" style="14"/>
    <col min="3595" max="3595" width="9.26953125" style="14" bestFit="1" customWidth="1"/>
    <col min="3596" max="3596" width="9.1796875" style="14"/>
    <col min="3597" max="3597" width="9.26953125" style="14" bestFit="1" customWidth="1"/>
    <col min="3598" max="3598" width="12.453125" style="14" customWidth="1"/>
    <col min="3599" max="3599" width="10.7265625" style="14" customWidth="1"/>
    <col min="3600" max="3600" width="12.453125" style="14" bestFit="1" customWidth="1"/>
    <col min="3601" max="3601" width="10.26953125" style="14" bestFit="1" customWidth="1"/>
    <col min="3602" max="3602" width="13.1796875" style="14" bestFit="1" customWidth="1"/>
    <col min="3603" max="3603" width="12.453125" style="14" bestFit="1" customWidth="1"/>
    <col min="3604" max="3841" width="9.1796875" style="14"/>
    <col min="3842" max="3842" width="9.26953125" style="14" bestFit="1" customWidth="1"/>
    <col min="3843" max="3843" width="9.1796875" style="14"/>
    <col min="3844" max="3846" width="9.26953125" style="14" bestFit="1" customWidth="1"/>
    <col min="3847" max="3847" width="9.1796875" style="14"/>
    <col min="3848" max="3848" width="9.26953125" style="14" bestFit="1" customWidth="1"/>
    <col min="3849" max="3850" width="9.1796875" style="14"/>
    <col min="3851" max="3851" width="9.26953125" style="14" bestFit="1" customWidth="1"/>
    <col min="3852" max="3852" width="9.1796875" style="14"/>
    <col min="3853" max="3853" width="9.26953125" style="14" bestFit="1" customWidth="1"/>
    <col min="3854" max="3854" width="12.453125" style="14" customWidth="1"/>
    <col min="3855" max="3855" width="10.7265625" style="14" customWidth="1"/>
    <col min="3856" max="3856" width="12.453125" style="14" bestFit="1" customWidth="1"/>
    <col min="3857" max="3857" width="10.26953125" style="14" bestFit="1" customWidth="1"/>
    <col min="3858" max="3858" width="13.1796875" style="14" bestFit="1" customWidth="1"/>
    <col min="3859" max="3859" width="12.453125" style="14" bestFit="1" customWidth="1"/>
    <col min="3860" max="4097" width="9.1796875" style="14"/>
    <col min="4098" max="4098" width="9.26953125" style="14" bestFit="1" customWidth="1"/>
    <col min="4099" max="4099" width="9.1796875" style="14"/>
    <col min="4100" max="4102" width="9.26953125" style="14" bestFit="1" customWidth="1"/>
    <col min="4103" max="4103" width="9.1796875" style="14"/>
    <col min="4104" max="4104" width="9.26953125" style="14" bestFit="1" customWidth="1"/>
    <col min="4105" max="4106" width="9.1796875" style="14"/>
    <col min="4107" max="4107" width="9.26953125" style="14" bestFit="1" customWidth="1"/>
    <col min="4108" max="4108" width="9.1796875" style="14"/>
    <col min="4109" max="4109" width="9.26953125" style="14" bestFit="1" customWidth="1"/>
    <col min="4110" max="4110" width="12.453125" style="14" customWidth="1"/>
    <col min="4111" max="4111" width="10.7265625" style="14" customWidth="1"/>
    <col min="4112" max="4112" width="12.453125" style="14" bestFit="1" customWidth="1"/>
    <col min="4113" max="4113" width="10.26953125" style="14" bestFit="1" customWidth="1"/>
    <col min="4114" max="4114" width="13.1796875" style="14" bestFit="1" customWidth="1"/>
    <col min="4115" max="4115" width="12.453125" style="14" bestFit="1" customWidth="1"/>
    <col min="4116" max="4353" width="9.1796875" style="14"/>
    <col min="4354" max="4354" width="9.26953125" style="14" bestFit="1" customWidth="1"/>
    <col min="4355" max="4355" width="9.1796875" style="14"/>
    <col min="4356" max="4358" width="9.26953125" style="14" bestFit="1" customWidth="1"/>
    <col min="4359" max="4359" width="9.1796875" style="14"/>
    <col min="4360" max="4360" width="9.26953125" style="14" bestFit="1" customWidth="1"/>
    <col min="4361" max="4362" width="9.1796875" style="14"/>
    <col min="4363" max="4363" width="9.26953125" style="14" bestFit="1" customWidth="1"/>
    <col min="4364" max="4364" width="9.1796875" style="14"/>
    <col min="4365" max="4365" width="9.26953125" style="14" bestFit="1" customWidth="1"/>
    <col min="4366" max="4366" width="12.453125" style="14" customWidth="1"/>
    <col min="4367" max="4367" width="10.7265625" style="14" customWidth="1"/>
    <col min="4368" max="4368" width="12.453125" style="14" bestFit="1" customWidth="1"/>
    <col min="4369" max="4369" width="10.26953125" style="14" bestFit="1" customWidth="1"/>
    <col min="4370" max="4370" width="13.1796875" style="14" bestFit="1" customWidth="1"/>
    <col min="4371" max="4371" width="12.453125" style="14" bestFit="1" customWidth="1"/>
    <col min="4372" max="4609" width="9.1796875" style="14"/>
    <col min="4610" max="4610" width="9.26953125" style="14" bestFit="1" customWidth="1"/>
    <col min="4611" max="4611" width="9.1796875" style="14"/>
    <col min="4612" max="4614" width="9.26953125" style="14" bestFit="1" customWidth="1"/>
    <col min="4615" max="4615" width="9.1796875" style="14"/>
    <col min="4616" max="4616" width="9.26953125" style="14" bestFit="1" customWidth="1"/>
    <col min="4617" max="4618" width="9.1796875" style="14"/>
    <col min="4619" max="4619" width="9.26953125" style="14" bestFit="1" customWidth="1"/>
    <col min="4620" max="4620" width="9.1796875" style="14"/>
    <col min="4621" max="4621" width="9.26953125" style="14" bestFit="1" customWidth="1"/>
    <col min="4622" max="4622" width="12.453125" style="14" customWidth="1"/>
    <col min="4623" max="4623" width="10.7265625" style="14" customWidth="1"/>
    <col min="4624" max="4624" width="12.453125" style="14" bestFit="1" customWidth="1"/>
    <col min="4625" max="4625" width="10.26953125" style="14" bestFit="1" customWidth="1"/>
    <col min="4626" max="4626" width="13.1796875" style="14" bestFit="1" customWidth="1"/>
    <col min="4627" max="4627" width="12.453125" style="14" bestFit="1" customWidth="1"/>
    <col min="4628" max="4865" width="9.1796875" style="14"/>
    <col min="4866" max="4866" width="9.26953125" style="14" bestFit="1" customWidth="1"/>
    <col min="4867" max="4867" width="9.1796875" style="14"/>
    <col min="4868" max="4870" width="9.26953125" style="14" bestFit="1" customWidth="1"/>
    <col min="4871" max="4871" width="9.1796875" style="14"/>
    <col min="4872" max="4872" width="9.26953125" style="14" bestFit="1" customWidth="1"/>
    <col min="4873" max="4874" width="9.1796875" style="14"/>
    <col min="4875" max="4875" width="9.26953125" style="14" bestFit="1" customWidth="1"/>
    <col min="4876" max="4876" width="9.1796875" style="14"/>
    <col min="4877" max="4877" width="9.26953125" style="14" bestFit="1" customWidth="1"/>
    <col min="4878" max="4878" width="12.453125" style="14" customWidth="1"/>
    <col min="4879" max="4879" width="10.7265625" style="14" customWidth="1"/>
    <col min="4880" max="4880" width="12.453125" style="14" bestFit="1" customWidth="1"/>
    <col min="4881" max="4881" width="10.26953125" style="14" bestFit="1" customWidth="1"/>
    <col min="4882" max="4882" width="13.1796875" style="14" bestFit="1" customWidth="1"/>
    <col min="4883" max="4883" width="12.453125" style="14" bestFit="1" customWidth="1"/>
    <col min="4884" max="5121" width="9.1796875" style="14"/>
    <col min="5122" max="5122" width="9.26953125" style="14" bestFit="1" customWidth="1"/>
    <col min="5123" max="5123" width="9.1796875" style="14"/>
    <col min="5124" max="5126" width="9.26953125" style="14" bestFit="1" customWidth="1"/>
    <col min="5127" max="5127" width="9.1796875" style="14"/>
    <col min="5128" max="5128" width="9.26953125" style="14" bestFit="1" customWidth="1"/>
    <col min="5129" max="5130" width="9.1796875" style="14"/>
    <col min="5131" max="5131" width="9.26953125" style="14" bestFit="1" customWidth="1"/>
    <col min="5132" max="5132" width="9.1796875" style="14"/>
    <col min="5133" max="5133" width="9.26953125" style="14" bestFit="1" customWidth="1"/>
    <col min="5134" max="5134" width="12.453125" style="14" customWidth="1"/>
    <col min="5135" max="5135" width="10.7265625" style="14" customWidth="1"/>
    <col min="5136" max="5136" width="12.453125" style="14" bestFit="1" customWidth="1"/>
    <col min="5137" max="5137" width="10.26953125" style="14" bestFit="1" customWidth="1"/>
    <col min="5138" max="5138" width="13.1796875" style="14" bestFit="1" customWidth="1"/>
    <col min="5139" max="5139" width="12.453125" style="14" bestFit="1" customWidth="1"/>
    <col min="5140" max="5377" width="9.1796875" style="14"/>
    <col min="5378" max="5378" width="9.26953125" style="14" bestFit="1" customWidth="1"/>
    <col min="5379" max="5379" width="9.1796875" style="14"/>
    <col min="5380" max="5382" width="9.26953125" style="14" bestFit="1" customWidth="1"/>
    <col min="5383" max="5383" width="9.1796875" style="14"/>
    <col min="5384" max="5384" width="9.26953125" style="14" bestFit="1" customWidth="1"/>
    <col min="5385" max="5386" width="9.1796875" style="14"/>
    <col min="5387" max="5387" width="9.26953125" style="14" bestFit="1" customWidth="1"/>
    <col min="5388" max="5388" width="9.1796875" style="14"/>
    <col min="5389" max="5389" width="9.26953125" style="14" bestFit="1" customWidth="1"/>
    <col min="5390" max="5390" width="12.453125" style="14" customWidth="1"/>
    <col min="5391" max="5391" width="10.7265625" style="14" customWidth="1"/>
    <col min="5392" max="5392" width="12.453125" style="14" bestFit="1" customWidth="1"/>
    <col min="5393" max="5393" width="10.26953125" style="14" bestFit="1" customWidth="1"/>
    <col min="5394" max="5394" width="13.1796875" style="14" bestFit="1" customWidth="1"/>
    <col min="5395" max="5395" width="12.453125" style="14" bestFit="1" customWidth="1"/>
    <col min="5396" max="5633" width="9.1796875" style="14"/>
    <col min="5634" max="5634" width="9.26953125" style="14" bestFit="1" customWidth="1"/>
    <col min="5635" max="5635" width="9.1796875" style="14"/>
    <col min="5636" max="5638" width="9.26953125" style="14" bestFit="1" customWidth="1"/>
    <col min="5639" max="5639" width="9.1796875" style="14"/>
    <col min="5640" max="5640" width="9.26953125" style="14" bestFit="1" customWidth="1"/>
    <col min="5641" max="5642" width="9.1796875" style="14"/>
    <col min="5643" max="5643" width="9.26953125" style="14" bestFit="1" customWidth="1"/>
    <col min="5644" max="5644" width="9.1796875" style="14"/>
    <col min="5645" max="5645" width="9.26953125" style="14" bestFit="1" customWidth="1"/>
    <col min="5646" max="5646" width="12.453125" style="14" customWidth="1"/>
    <col min="5647" max="5647" width="10.7265625" style="14" customWidth="1"/>
    <col min="5648" max="5648" width="12.453125" style="14" bestFit="1" customWidth="1"/>
    <col min="5649" max="5649" width="10.26953125" style="14" bestFit="1" customWidth="1"/>
    <col min="5650" max="5650" width="13.1796875" style="14" bestFit="1" customWidth="1"/>
    <col min="5651" max="5651" width="12.453125" style="14" bestFit="1" customWidth="1"/>
    <col min="5652" max="5889" width="9.1796875" style="14"/>
    <col min="5890" max="5890" width="9.26953125" style="14" bestFit="1" customWidth="1"/>
    <col min="5891" max="5891" width="9.1796875" style="14"/>
    <col min="5892" max="5894" width="9.26953125" style="14" bestFit="1" customWidth="1"/>
    <col min="5895" max="5895" width="9.1796875" style="14"/>
    <col min="5896" max="5896" width="9.26953125" style="14" bestFit="1" customWidth="1"/>
    <col min="5897" max="5898" width="9.1796875" style="14"/>
    <col min="5899" max="5899" width="9.26953125" style="14" bestFit="1" customWidth="1"/>
    <col min="5900" max="5900" width="9.1796875" style="14"/>
    <col min="5901" max="5901" width="9.26953125" style="14" bestFit="1" customWidth="1"/>
    <col min="5902" max="5902" width="12.453125" style="14" customWidth="1"/>
    <col min="5903" max="5903" width="10.7265625" style="14" customWidth="1"/>
    <col min="5904" max="5904" width="12.453125" style="14" bestFit="1" customWidth="1"/>
    <col min="5905" max="5905" width="10.26953125" style="14" bestFit="1" customWidth="1"/>
    <col min="5906" max="5906" width="13.1796875" style="14" bestFit="1" customWidth="1"/>
    <col min="5907" max="5907" width="12.453125" style="14" bestFit="1" customWidth="1"/>
    <col min="5908" max="6145" width="9.1796875" style="14"/>
    <col min="6146" max="6146" width="9.26953125" style="14" bestFit="1" customWidth="1"/>
    <col min="6147" max="6147" width="9.1796875" style="14"/>
    <col min="6148" max="6150" width="9.26953125" style="14" bestFit="1" customWidth="1"/>
    <col min="6151" max="6151" width="9.1796875" style="14"/>
    <col min="6152" max="6152" width="9.26953125" style="14" bestFit="1" customWidth="1"/>
    <col min="6153" max="6154" width="9.1796875" style="14"/>
    <col min="6155" max="6155" width="9.26953125" style="14" bestFit="1" customWidth="1"/>
    <col min="6156" max="6156" width="9.1796875" style="14"/>
    <col min="6157" max="6157" width="9.26953125" style="14" bestFit="1" customWidth="1"/>
    <col min="6158" max="6158" width="12.453125" style="14" customWidth="1"/>
    <col min="6159" max="6159" width="10.7265625" style="14" customWidth="1"/>
    <col min="6160" max="6160" width="12.453125" style="14" bestFit="1" customWidth="1"/>
    <col min="6161" max="6161" width="10.26953125" style="14" bestFit="1" customWidth="1"/>
    <col min="6162" max="6162" width="13.1796875" style="14" bestFit="1" customWidth="1"/>
    <col min="6163" max="6163" width="12.453125" style="14" bestFit="1" customWidth="1"/>
    <col min="6164" max="6401" width="9.1796875" style="14"/>
    <col min="6402" max="6402" width="9.26953125" style="14" bestFit="1" customWidth="1"/>
    <col min="6403" max="6403" width="9.1796875" style="14"/>
    <col min="6404" max="6406" width="9.26953125" style="14" bestFit="1" customWidth="1"/>
    <col min="6407" max="6407" width="9.1796875" style="14"/>
    <col min="6408" max="6408" width="9.26953125" style="14" bestFit="1" customWidth="1"/>
    <col min="6409" max="6410" width="9.1796875" style="14"/>
    <col min="6411" max="6411" width="9.26953125" style="14" bestFit="1" customWidth="1"/>
    <col min="6412" max="6412" width="9.1796875" style="14"/>
    <col min="6413" max="6413" width="9.26953125" style="14" bestFit="1" customWidth="1"/>
    <col min="6414" max="6414" width="12.453125" style="14" customWidth="1"/>
    <col min="6415" max="6415" width="10.7265625" style="14" customWidth="1"/>
    <col min="6416" max="6416" width="12.453125" style="14" bestFit="1" customWidth="1"/>
    <col min="6417" max="6417" width="10.26953125" style="14" bestFit="1" customWidth="1"/>
    <col min="6418" max="6418" width="13.1796875" style="14" bestFit="1" customWidth="1"/>
    <col min="6419" max="6419" width="12.453125" style="14" bestFit="1" customWidth="1"/>
    <col min="6420" max="6657" width="9.1796875" style="14"/>
    <col min="6658" max="6658" width="9.26953125" style="14" bestFit="1" customWidth="1"/>
    <col min="6659" max="6659" width="9.1796875" style="14"/>
    <col min="6660" max="6662" width="9.26953125" style="14" bestFit="1" customWidth="1"/>
    <col min="6663" max="6663" width="9.1796875" style="14"/>
    <col min="6664" max="6664" width="9.26953125" style="14" bestFit="1" customWidth="1"/>
    <col min="6665" max="6666" width="9.1796875" style="14"/>
    <col min="6667" max="6667" width="9.26953125" style="14" bestFit="1" customWidth="1"/>
    <col min="6668" max="6668" width="9.1796875" style="14"/>
    <col min="6669" max="6669" width="9.26953125" style="14" bestFit="1" customWidth="1"/>
    <col min="6670" max="6670" width="12.453125" style="14" customWidth="1"/>
    <col min="6671" max="6671" width="10.7265625" style="14" customWidth="1"/>
    <col min="6672" max="6672" width="12.453125" style="14" bestFit="1" customWidth="1"/>
    <col min="6673" max="6673" width="10.26953125" style="14" bestFit="1" customWidth="1"/>
    <col min="6674" max="6674" width="13.1796875" style="14" bestFit="1" customWidth="1"/>
    <col min="6675" max="6675" width="12.453125" style="14" bestFit="1" customWidth="1"/>
    <col min="6676" max="6913" width="9.1796875" style="14"/>
    <col min="6914" max="6914" width="9.26953125" style="14" bestFit="1" customWidth="1"/>
    <col min="6915" max="6915" width="9.1796875" style="14"/>
    <col min="6916" max="6918" width="9.26953125" style="14" bestFit="1" customWidth="1"/>
    <col min="6919" max="6919" width="9.1796875" style="14"/>
    <col min="6920" max="6920" width="9.26953125" style="14" bestFit="1" customWidth="1"/>
    <col min="6921" max="6922" width="9.1796875" style="14"/>
    <col min="6923" max="6923" width="9.26953125" style="14" bestFit="1" customWidth="1"/>
    <col min="6924" max="6924" width="9.1796875" style="14"/>
    <col min="6925" max="6925" width="9.26953125" style="14" bestFit="1" customWidth="1"/>
    <col min="6926" max="6926" width="12.453125" style="14" customWidth="1"/>
    <col min="6927" max="6927" width="10.7265625" style="14" customWidth="1"/>
    <col min="6928" max="6928" width="12.453125" style="14" bestFit="1" customWidth="1"/>
    <col min="6929" max="6929" width="10.26953125" style="14" bestFit="1" customWidth="1"/>
    <col min="6930" max="6930" width="13.1796875" style="14" bestFit="1" customWidth="1"/>
    <col min="6931" max="6931" width="12.453125" style="14" bestFit="1" customWidth="1"/>
    <col min="6932" max="7169" width="9.1796875" style="14"/>
    <col min="7170" max="7170" width="9.26953125" style="14" bestFit="1" customWidth="1"/>
    <col min="7171" max="7171" width="9.1796875" style="14"/>
    <col min="7172" max="7174" width="9.26953125" style="14" bestFit="1" customWidth="1"/>
    <col min="7175" max="7175" width="9.1796875" style="14"/>
    <col min="7176" max="7176" width="9.26953125" style="14" bestFit="1" customWidth="1"/>
    <col min="7177" max="7178" width="9.1796875" style="14"/>
    <col min="7179" max="7179" width="9.26953125" style="14" bestFit="1" customWidth="1"/>
    <col min="7180" max="7180" width="9.1796875" style="14"/>
    <col min="7181" max="7181" width="9.26953125" style="14" bestFit="1" customWidth="1"/>
    <col min="7182" max="7182" width="12.453125" style="14" customWidth="1"/>
    <col min="7183" max="7183" width="10.7265625" style="14" customWidth="1"/>
    <col min="7184" max="7184" width="12.453125" style="14" bestFit="1" customWidth="1"/>
    <col min="7185" max="7185" width="10.26953125" style="14" bestFit="1" customWidth="1"/>
    <col min="7186" max="7186" width="13.1796875" style="14" bestFit="1" customWidth="1"/>
    <col min="7187" max="7187" width="12.453125" style="14" bestFit="1" customWidth="1"/>
    <col min="7188" max="7425" width="9.1796875" style="14"/>
    <col min="7426" max="7426" width="9.26953125" style="14" bestFit="1" customWidth="1"/>
    <col min="7427" max="7427" width="9.1796875" style="14"/>
    <col min="7428" max="7430" width="9.26953125" style="14" bestFit="1" customWidth="1"/>
    <col min="7431" max="7431" width="9.1796875" style="14"/>
    <col min="7432" max="7432" width="9.26953125" style="14" bestFit="1" customWidth="1"/>
    <col min="7433" max="7434" width="9.1796875" style="14"/>
    <col min="7435" max="7435" width="9.26953125" style="14" bestFit="1" customWidth="1"/>
    <col min="7436" max="7436" width="9.1796875" style="14"/>
    <col min="7437" max="7437" width="9.26953125" style="14" bestFit="1" customWidth="1"/>
    <col min="7438" max="7438" width="12.453125" style="14" customWidth="1"/>
    <col min="7439" max="7439" width="10.7265625" style="14" customWidth="1"/>
    <col min="7440" max="7440" width="12.453125" style="14" bestFit="1" customWidth="1"/>
    <col min="7441" max="7441" width="10.26953125" style="14" bestFit="1" customWidth="1"/>
    <col min="7442" max="7442" width="13.1796875" style="14" bestFit="1" customWidth="1"/>
    <col min="7443" max="7443" width="12.453125" style="14" bestFit="1" customWidth="1"/>
    <col min="7444" max="7681" width="9.1796875" style="14"/>
    <col min="7682" max="7682" width="9.26953125" style="14" bestFit="1" customWidth="1"/>
    <col min="7683" max="7683" width="9.1796875" style="14"/>
    <col min="7684" max="7686" width="9.26953125" style="14" bestFit="1" customWidth="1"/>
    <col min="7687" max="7687" width="9.1796875" style="14"/>
    <col min="7688" max="7688" width="9.26953125" style="14" bestFit="1" customWidth="1"/>
    <col min="7689" max="7690" width="9.1796875" style="14"/>
    <col min="7691" max="7691" width="9.26953125" style="14" bestFit="1" customWidth="1"/>
    <col min="7692" max="7692" width="9.1796875" style="14"/>
    <col min="7693" max="7693" width="9.26953125" style="14" bestFit="1" customWidth="1"/>
    <col min="7694" max="7694" width="12.453125" style="14" customWidth="1"/>
    <col min="7695" max="7695" width="10.7265625" style="14" customWidth="1"/>
    <col min="7696" max="7696" width="12.453125" style="14" bestFit="1" customWidth="1"/>
    <col min="7697" max="7697" width="10.26953125" style="14" bestFit="1" customWidth="1"/>
    <col min="7698" max="7698" width="13.1796875" style="14" bestFit="1" customWidth="1"/>
    <col min="7699" max="7699" width="12.453125" style="14" bestFit="1" customWidth="1"/>
    <col min="7700" max="7937" width="9.1796875" style="14"/>
    <col min="7938" max="7938" width="9.26953125" style="14" bestFit="1" customWidth="1"/>
    <col min="7939" max="7939" width="9.1796875" style="14"/>
    <col min="7940" max="7942" width="9.26953125" style="14" bestFit="1" customWidth="1"/>
    <col min="7943" max="7943" width="9.1796875" style="14"/>
    <col min="7944" max="7944" width="9.26953125" style="14" bestFit="1" customWidth="1"/>
    <col min="7945" max="7946" width="9.1796875" style="14"/>
    <col min="7947" max="7947" width="9.26953125" style="14" bestFit="1" customWidth="1"/>
    <col min="7948" max="7948" width="9.1796875" style="14"/>
    <col min="7949" max="7949" width="9.26953125" style="14" bestFit="1" customWidth="1"/>
    <col min="7950" max="7950" width="12.453125" style="14" customWidth="1"/>
    <col min="7951" max="7951" width="10.7265625" style="14" customWidth="1"/>
    <col min="7952" max="7952" width="12.453125" style="14" bestFit="1" customWidth="1"/>
    <col min="7953" max="7953" width="10.26953125" style="14" bestFit="1" customWidth="1"/>
    <col min="7954" max="7954" width="13.1796875" style="14" bestFit="1" customWidth="1"/>
    <col min="7955" max="7955" width="12.453125" style="14" bestFit="1" customWidth="1"/>
    <col min="7956" max="8193" width="9.1796875" style="14"/>
    <col min="8194" max="8194" width="9.26953125" style="14" bestFit="1" customWidth="1"/>
    <col min="8195" max="8195" width="9.1796875" style="14"/>
    <col min="8196" max="8198" width="9.26953125" style="14" bestFit="1" customWidth="1"/>
    <col min="8199" max="8199" width="9.1796875" style="14"/>
    <col min="8200" max="8200" width="9.26953125" style="14" bestFit="1" customWidth="1"/>
    <col min="8201" max="8202" width="9.1796875" style="14"/>
    <col min="8203" max="8203" width="9.26953125" style="14" bestFit="1" customWidth="1"/>
    <col min="8204" max="8204" width="9.1796875" style="14"/>
    <col min="8205" max="8205" width="9.26953125" style="14" bestFit="1" customWidth="1"/>
    <col min="8206" max="8206" width="12.453125" style="14" customWidth="1"/>
    <col min="8207" max="8207" width="10.7265625" style="14" customWidth="1"/>
    <col min="8208" max="8208" width="12.453125" style="14" bestFit="1" customWidth="1"/>
    <col min="8209" max="8209" width="10.26953125" style="14" bestFit="1" customWidth="1"/>
    <col min="8210" max="8210" width="13.1796875" style="14" bestFit="1" customWidth="1"/>
    <col min="8211" max="8211" width="12.453125" style="14" bestFit="1" customWidth="1"/>
    <col min="8212" max="8449" width="9.1796875" style="14"/>
    <col min="8450" max="8450" width="9.26953125" style="14" bestFit="1" customWidth="1"/>
    <col min="8451" max="8451" width="9.1796875" style="14"/>
    <col min="8452" max="8454" width="9.26953125" style="14" bestFit="1" customWidth="1"/>
    <col min="8455" max="8455" width="9.1796875" style="14"/>
    <col min="8456" max="8456" width="9.26953125" style="14" bestFit="1" customWidth="1"/>
    <col min="8457" max="8458" width="9.1796875" style="14"/>
    <col min="8459" max="8459" width="9.26953125" style="14" bestFit="1" customWidth="1"/>
    <col min="8460" max="8460" width="9.1796875" style="14"/>
    <col min="8461" max="8461" width="9.26953125" style="14" bestFit="1" customWidth="1"/>
    <col min="8462" max="8462" width="12.453125" style="14" customWidth="1"/>
    <col min="8463" max="8463" width="10.7265625" style="14" customWidth="1"/>
    <col min="8464" max="8464" width="12.453125" style="14" bestFit="1" customWidth="1"/>
    <col min="8465" max="8465" width="10.26953125" style="14" bestFit="1" customWidth="1"/>
    <col min="8466" max="8466" width="13.1796875" style="14" bestFit="1" customWidth="1"/>
    <col min="8467" max="8467" width="12.453125" style="14" bestFit="1" customWidth="1"/>
    <col min="8468" max="8705" width="9.1796875" style="14"/>
    <col min="8706" max="8706" width="9.26953125" style="14" bestFit="1" customWidth="1"/>
    <col min="8707" max="8707" width="9.1796875" style="14"/>
    <col min="8708" max="8710" width="9.26953125" style="14" bestFit="1" customWidth="1"/>
    <col min="8711" max="8711" width="9.1796875" style="14"/>
    <col min="8712" max="8712" width="9.26953125" style="14" bestFit="1" customWidth="1"/>
    <col min="8713" max="8714" width="9.1796875" style="14"/>
    <col min="8715" max="8715" width="9.26953125" style="14" bestFit="1" customWidth="1"/>
    <col min="8716" max="8716" width="9.1796875" style="14"/>
    <col min="8717" max="8717" width="9.26953125" style="14" bestFit="1" customWidth="1"/>
    <col min="8718" max="8718" width="12.453125" style="14" customWidth="1"/>
    <col min="8719" max="8719" width="10.7265625" style="14" customWidth="1"/>
    <col min="8720" max="8720" width="12.453125" style="14" bestFit="1" customWidth="1"/>
    <col min="8721" max="8721" width="10.26953125" style="14" bestFit="1" customWidth="1"/>
    <col min="8722" max="8722" width="13.1796875" style="14" bestFit="1" customWidth="1"/>
    <col min="8723" max="8723" width="12.453125" style="14" bestFit="1" customWidth="1"/>
    <col min="8724" max="8961" width="9.1796875" style="14"/>
    <col min="8962" max="8962" width="9.26953125" style="14" bestFit="1" customWidth="1"/>
    <col min="8963" max="8963" width="9.1796875" style="14"/>
    <col min="8964" max="8966" width="9.26953125" style="14" bestFit="1" customWidth="1"/>
    <col min="8967" max="8967" width="9.1796875" style="14"/>
    <col min="8968" max="8968" width="9.26953125" style="14" bestFit="1" customWidth="1"/>
    <col min="8969" max="8970" width="9.1796875" style="14"/>
    <col min="8971" max="8971" width="9.26953125" style="14" bestFit="1" customWidth="1"/>
    <col min="8972" max="8972" width="9.1796875" style="14"/>
    <col min="8973" max="8973" width="9.26953125" style="14" bestFit="1" customWidth="1"/>
    <col min="8974" max="8974" width="12.453125" style="14" customWidth="1"/>
    <col min="8975" max="8975" width="10.7265625" style="14" customWidth="1"/>
    <col min="8976" max="8976" width="12.453125" style="14" bestFit="1" customWidth="1"/>
    <col min="8977" max="8977" width="10.26953125" style="14" bestFit="1" customWidth="1"/>
    <col min="8978" max="8978" width="13.1796875" style="14" bestFit="1" customWidth="1"/>
    <col min="8979" max="8979" width="12.453125" style="14" bestFit="1" customWidth="1"/>
    <col min="8980" max="9217" width="9.1796875" style="14"/>
    <col min="9218" max="9218" width="9.26953125" style="14" bestFit="1" customWidth="1"/>
    <col min="9219" max="9219" width="9.1796875" style="14"/>
    <col min="9220" max="9222" width="9.26953125" style="14" bestFit="1" customWidth="1"/>
    <col min="9223" max="9223" width="9.1796875" style="14"/>
    <col min="9224" max="9224" width="9.26953125" style="14" bestFit="1" customWidth="1"/>
    <col min="9225" max="9226" width="9.1796875" style="14"/>
    <col min="9227" max="9227" width="9.26953125" style="14" bestFit="1" customWidth="1"/>
    <col min="9228" max="9228" width="9.1796875" style="14"/>
    <col min="9229" max="9229" width="9.26953125" style="14" bestFit="1" customWidth="1"/>
    <col min="9230" max="9230" width="12.453125" style="14" customWidth="1"/>
    <col min="9231" max="9231" width="10.7265625" style="14" customWidth="1"/>
    <col min="9232" max="9232" width="12.453125" style="14" bestFit="1" customWidth="1"/>
    <col min="9233" max="9233" width="10.26953125" style="14" bestFit="1" customWidth="1"/>
    <col min="9234" max="9234" width="13.1796875" style="14" bestFit="1" customWidth="1"/>
    <col min="9235" max="9235" width="12.453125" style="14" bestFit="1" customWidth="1"/>
    <col min="9236" max="9473" width="9.1796875" style="14"/>
    <col min="9474" max="9474" width="9.26953125" style="14" bestFit="1" customWidth="1"/>
    <col min="9475" max="9475" width="9.1796875" style="14"/>
    <col min="9476" max="9478" width="9.26953125" style="14" bestFit="1" customWidth="1"/>
    <col min="9479" max="9479" width="9.1796875" style="14"/>
    <col min="9480" max="9480" width="9.26953125" style="14" bestFit="1" customWidth="1"/>
    <col min="9481" max="9482" width="9.1796875" style="14"/>
    <col min="9483" max="9483" width="9.26953125" style="14" bestFit="1" customWidth="1"/>
    <col min="9484" max="9484" width="9.1796875" style="14"/>
    <col min="9485" max="9485" width="9.26953125" style="14" bestFit="1" customWidth="1"/>
    <col min="9486" max="9486" width="12.453125" style="14" customWidth="1"/>
    <col min="9487" max="9487" width="10.7265625" style="14" customWidth="1"/>
    <col min="9488" max="9488" width="12.453125" style="14" bestFit="1" customWidth="1"/>
    <col min="9489" max="9489" width="10.26953125" style="14" bestFit="1" customWidth="1"/>
    <col min="9490" max="9490" width="13.1796875" style="14" bestFit="1" customWidth="1"/>
    <col min="9491" max="9491" width="12.453125" style="14" bestFit="1" customWidth="1"/>
    <col min="9492" max="9729" width="9.1796875" style="14"/>
    <col min="9730" max="9730" width="9.26953125" style="14" bestFit="1" customWidth="1"/>
    <col min="9731" max="9731" width="9.1796875" style="14"/>
    <col min="9732" max="9734" width="9.26953125" style="14" bestFit="1" customWidth="1"/>
    <col min="9735" max="9735" width="9.1796875" style="14"/>
    <col min="9736" max="9736" width="9.26953125" style="14" bestFit="1" customWidth="1"/>
    <col min="9737" max="9738" width="9.1796875" style="14"/>
    <col min="9739" max="9739" width="9.26953125" style="14" bestFit="1" customWidth="1"/>
    <col min="9740" max="9740" width="9.1796875" style="14"/>
    <col min="9741" max="9741" width="9.26953125" style="14" bestFit="1" customWidth="1"/>
    <col min="9742" max="9742" width="12.453125" style="14" customWidth="1"/>
    <col min="9743" max="9743" width="10.7265625" style="14" customWidth="1"/>
    <col min="9744" max="9744" width="12.453125" style="14" bestFit="1" customWidth="1"/>
    <col min="9745" max="9745" width="10.26953125" style="14" bestFit="1" customWidth="1"/>
    <col min="9746" max="9746" width="13.1796875" style="14" bestFit="1" customWidth="1"/>
    <col min="9747" max="9747" width="12.453125" style="14" bestFit="1" customWidth="1"/>
    <col min="9748" max="9985" width="9.1796875" style="14"/>
    <col min="9986" max="9986" width="9.26953125" style="14" bestFit="1" customWidth="1"/>
    <col min="9987" max="9987" width="9.1796875" style="14"/>
    <col min="9988" max="9990" width="9.26953125" style="14" bestFit="1" customWidth="1"/>
    <col min="9991" max="9991" width="9.1796875" style="14"/>
    <col min="9992" max="9992" width="9.26953125" style="14" bestFit="1" customWidth="1"/>
    <col min="9993" max="9994" width="9.1796875" style="14"/>
    <col min="9995" max="9995" width="9.26953125" style="14" bestFit="1" customWidth="1"/>
    <col min="9996" max="9996" width="9.1796875" style="14"/>
    <col min="9997" max="9997" width="9.26953125" style="14" bestFit="1" customWidth="1"/>
    <col min="9998" max="9998" width="12.453125" style="14" customWidth="1"/>
    <col min="9999" max="9999" width="10.7265625" style="14" customWidth="1"/>
    <col min="10000" max="10000" width="12.453125" style="14" bestFit="1" customWidth="1"/>
    <col min="10001" max="10001" width="10.26953125" style="14" bestFit="1" customWidth="1"/>
    <col min="10002" max="10002" width="13.1796875" style="14" bestFit="1" customWidth="1"/>
    <col min="10003" max="10003" width="12.453125" style="14" bestFit="1" customWidth="1"/>
    <col min="10004" max="10241" width="9.1796875" style="14"/>
    <col min="10242" max="10242" width="9.26953125" style="14" bestFit="1" customWidth="1"/>
    <col min="10243" max="10243" width="9.1796875" style="14"/>
    <col min="10244" max="10246" width="9.26953125" style="14" bestFit="1" customWidth="1"/>
    <col min="10247" max="10247" width="9.1796875" style="14"/>
    <col min="10248" max="10248" width="9.26953125" style="14" bestFit="1" customWidth="1"/>
    <col min="10249" max="10250" width="9.1796875" style="14"/>
    <col min="10251" max="10251" width="9.26953125" style="14" bestFit="1" customWidth="1"/>
    <col min="10252" max="10252" width="9.1796875" style="14"/>
    <col min="10253" max="10253" width="9.26953125" style="14" bestFit="1" customWidth="1"/>
    <col min="10254" max="10254" width="12.453125" style="14" customWidth="1"/>
    <col min="10255" max="10255" width="10.7265625" style="14" customWidth="1"/>
    <col min="10256" max="10256" width="12.453125" style="14" bestFit="1" customWidth="1"/>
    <col min="10257" max="10257" width="10.26953125" style="14" bestFit="1" customWidth="1"/>
    <col min="10258" max="10258" width="13.1796875" style="14" bestFit="1" customWidth="1"/>
    <col min="10259" max="10259" width="12.453125" style="14" bestFit="1" customWidth="1"/>
    <col min="10260" max="10497" width="9.1796875" style="14"/>
    <col min="10498" max="10498" width="9.26953125" style="14" bestFit="1" customWidth="1"/>
    <col min="10499" max="10499" width="9.1796875" style="14"/>
    <col min="10500" max="10502" width="9.26953125" style="14" bestFit="1" customWidth="1"/>
    <col min="10503" max="10503" width="9.1796875" style="14"/>
    <col min="10504" max="10504" width="9.26953125" style="14" bestFit="1" customWidth="1"/>
    <col min="10505" max="10506" width="9.1796875" style="14"/>
    <col min="10507" max="10507" width="9.26953125" style="14" bestFit="1" customWidth="1"/>
    <col min="10508" max="10508" width="9.1796875" style="14"/>
    <col min="10509" max="10509" width="9.26953125" style="14" bestFit="1" customWidth="1"/>
    <col min="10510" max="10510" width="12.453125" style="14" customWidth="1"/>
    <col min="10511" max="10511" width="10.7265625" style="14" customWidth="1"/>
    <col min="10512" max="10512" width="12.453125" style="14" bestFit="1" customWidth="1"/>
    <col min="10513" max="10513" width="10.26953125" style="14" bestFit="1" customWidth="1"/>
    <col min="10514" max="10514" width="13.1796875" style="14" bestFit="1" customWidth="1"/>
    <col min="10515" max="10515" width="12.453125" style="14" bestFit="1" customWidth="1"/>
    <col min="10516" max="10753" width="9.1796875" style="14"/>
    <col min="10754" max="10754" width="9.26953125" style="14" bestFit="1" customWidth="1"/>
    <col min="10755" max="10755" width="9.1796875" style="14"/>
    <col min="10756" max="10758" width="9.26953125" style="14" bestFit="1" customWidth="1"/>
    <col min="10759" max="10759" width="9.1796875" style="14"/>
    <col min="10760" max="10760" width="9.26953125" style="14" bestFit="1" customWidth="1"/>
    <col min="10761" max="10762" width="9.1796875" style="14"/>
    <col min="10763" max="10763" width="9.26953125" style="14" bestFit="1" customWidth="1"/>
    <col min="10764" max="10764" width="9.1796875" style="14"/>
    <col min="10765" max="10765" width="9.26953125" style="14" bestFit="1" customWidth="1"/>
    <col min="10766" max="10766" width="12.453125" style="14" customWidth="1"/>
    <col min="10767" max="10767" width="10.7265625" style="14" customWidth="1"/>
    <col min="10768" max="10768" width="12.453125" style="14" bestFit="1" customWidth="1"/>
    <col min="10769" max="10769" width="10.26953125" style="14" bestFit="1" customWidth="1"/>
    <col min="10770" max="10770" width="13.1796875" style="14" bestFit="1" customWidth="1"/>
    <col min="10771" max="10771" width="12.453125" style="14" bestFit="1" customWidth="1"/>
    <col min="10772" max="11009" width="9.1796875" style="14"/>
    <col min="11010" max="11010" width="9.26953125" style="14" bestFit="1" customWidth="1"/>
    <col min="11011" max="11011" width="9.1796875" style="14"/>
    <col min="11012" max="11014" width="9.26953125" style="14" bestFit="1" customWidth="1"/>
    <col min="11015" max="11015" width="9.1796875" style="14"/>
    <col min="11016" max="11016" width="9.26953125" style="14" bestFit="1" customWidth="1"/>
    <col min="11017" max="11018" width="9.1796875" style="14"/>
    <col min="11019" max="11019" width="9.26953125" style="14" bestFit="1" customWidth="1"/>
    <col min="11020" max="11020" width="9.1796875" style="14"/>
    <col min="11021" max="11021" width="9.26953125" style="14" bestFit="1" customWidth="1"/>
    <col min="11022" max="11022" width="12.453125" style="14" customWidth="1"/>
    <col min="11023" max="11023" width="10.7265625" style="14" customWidth="1"/>
    <col min="11024" max="11024" width="12.453125" style="14" bestFit="1" customWidth="1"/>
    <col min="11025" max="11025" width="10.26953125" style="14" bestFit="1" customWidth="1"/>
    <col min="11026" max="11026" width="13.1796875" style="14" bestFit="1" customWidth="1"/>
    <col min="11027" max="11027" width="12.453125" style="14" bestFit="1" customWidth="1"/>
    <col min="11028" max="11265" width="9.1796875" style="14"/>
    <col min="11266" max="11266" width="9.26953125" style="14" bestFit="1" customWidth="1"/>
    <col min="11267" max="11267" width="9.1796875" style="14"/>
    <col min="11268" max="11270" width="9.26953125" style="14" bestFit="1" customWidth="1"/>
    <col min="11271" max="11271" width="9.1796875" style="14"/>
    <col min="11272" max="11272" width="9.26953125" style="14" bestFit="1" customWidth="1"/>
    <col min="11273" max="11274" width="9.1796875" style="14"/>
    <col min="11275" max="11275" width="9.26953125" style="14" bestFit="1" customWidth="1"/>
    <col min="11276" max="11276" width="9.1796875" style="14"/>
    <col min="11277" max="11277" width="9.26953125" style="14" bestFit="1" customWidth="1"/>
    <col min="11278" max="11278" width="12.453125" style="14" customWidth="1"/>
    <col min="11279" max="11279" width="10.7265625" style="14" customWidth="1"/>
    <col min="11280" max="11280" width="12.453125" style="14" bestFit="1" customWidth="1"/>
    <col min="11281" max="11281" width="10.26953125" style="14" bestFit="1" customWidth="1"/>
    <col min="11282" max="11282" width="13.1796875" style="14" bestFit="1" customWidth="1"/>
    <col min="11283" max="11283" width="12.453125" style="14" bestFit="1" customWidth="1"/>
    <col min="11284" max="11521" width="9.1796875" style="14"/>
    <col min="11522" max="11522" width="9.26953125" style="14" bestFit="1" customWidth="1"/>
    <col min="11523" max="11523" width="9.1796875" style="14"/>
    <col min="11524" max="11526" width="9.26953125" style="14" bestFit="1" customWidth="1"/>
    <col min="11527" max="11527" width="9.1796875" style="14"/>
    <col min="11528" max="11528" width="9.26953125" style="14" bestFit="1" customWidth="1"/>
    <col min="11529" max="11530" width="9.1796875" style="14"/>
    <col min="11531" max="11531" width="9.26953125" style="14" bestFit="1" customWidth="1"/>
    <col min="11532" max="11532" width="9.1796875" style="14"/>
    <col min="11533" max="11533" width="9.26953125" style="14" bestFit="1" customWidth="1"/>
    <col min="11534" max="11534" width="12.453125" style="14" customWidth="1"/>
    <col min="11535" max="11535" width="10.7265625" style="14" customWidth="1"/>
    <col min="11536" max="11536" width="12.453125" style="14" bestFit="1" customWidth="1"/>
    <col min="11537" max="11537" width="10.26953125" style="14" bestFit="1" customWidth="1"/>
    <col min="11538" max="11538" width="13.1796875" style="14" bestFit="1" customWidth="1"/>
    <col min="11539" max="11539" width="12.453125" style="14" bestFit="1" customWidth="1"/>
    <col min="11540" max="11777" width="9.1796875" style="14"/>
    <col min="11778" max="11778" width="9.26953125" style="14" bestFit="1" customWidth="1"/>
    <col min="11779" max="11779" width="9.1796875" style="14"/>
    <col min="11780" max="11782" width="9.26953125" style="14" bestFit="1" customWidth="1"/>
    <col min="11783" max="11783" width="9.1796875" style="14"/>
    <col min="11784" max="11784" width="9.26953125" style="14" bestFit="1" customWidth="1"/>
    <col min="11785" max="11786" width="9.1796875" style="14"/>
    <col min="11787" max="11787" width="9.26953125" style="14" bestFit="1" customWidth="1"/>
    <col min="11788" max="11788" width="9.1796875" style="14"/>
    <col min="11789" max="11789" width="9.26953125" style="14" bestFit="1" customWidth="1"/>
    <col min="11790" max="11790" width="12.453125" style="14" customWidth="1"/>
    <col min="11791" max="11791" width="10.7265625" style="14" customWidth="1"/>
    <col min="11792" max="11792" width="12.453125" style="14" bestFit="1" customWidth="1"/>
    <col min="11793" max="11793" width="10.26953125" style="14" bestFit="1" customWidth="1"/>
    <col min="11794" max="11794" width="13.1796875" style="14" bestFit="1" customWidth="1"/>
    <col min="11795" max="11795" width="12.453125" style="14" bestFit="1" customWidth="1"/>
    <col min="11796" max="12033" width="9.1796875" style="14"/>
    <col min="12034" max="12034" width="9.26953125" style="14" bestFit="1" customWidth="1"/>
    <col min="12035" max="12035" width="9.1796875" style="14"/>
    <col min="12036" max="12038" width="9.26953125" style="14" bestFit="1" customWidth="1"/>
    <col min="12039" max="12039" width="9.1796875" style="14"/>
    <col min="12040" max="12040" width="9.26953125" style="14" bestFit="1" customWidth="1"/>
    <col min="12041" max="12042" width="9.1796875" style="14"/>
    <col min="12043" max="12043" width="9.26953125" style="14" bestFit="1" customWidth="1"/>
    <col min="12044" max="12044" width="9.1796875" style="14"/>
    <col min="12045" max="12045" width="9.26953125" style="14" bestFit="1" customWidth="1"/>
    <col min="12046" max="12046" width="12.453125" style="14" customWidth="1"/>
    <col min="12047" max="12047" width="10.7265625" style="14" customWidth="1"/>
    <col min="12048" max="12048" width="12.453125" style="14" bestFit="1" customWidth="1"/>
    <col min="12049" max="12049" width="10.26953125" style="14" bestFit="1" customWidth="1"/>
    <col min="12050" max="12050" width="13.1796875" style="14" bestFit="1" customWidth="1"/>
    <col min="12051" max="12051" width="12.453125" style="14" bestFit="1" customWidth="1"/>
    <col min="12052" max="12289" width="9.1796875" style="14"/>
    <col min="12290" max="12290" width="9.26953125" style="14" bestFit="1" customWidth="1"/>
    <col min="12291" max="12291" width="9.1796875" style="14"/>
    <col min="12292" max="12294" width="9.26953125" style="14" bestFit="1" customWidth="1"/>
    <col min="12295" max="12295" width="9.1796875" style="14"/>
    <col min="12296" max="12296" width="9.26953125" style="14" bestFit="1" customWidth="1"/>
    <col min="12297" max="12298" width="9.1796875" style="14"/>
    <col min="12299" max="12299" width="9.26953125" style="14" bestFit="1" customWidth="1"/>
    <col min="12300" max="12300" width="9.1796875" style="14"/>
    <col min="12301" max="12301" width="9.26953125" style="14" bestFit="1" customWidth="1"/>
    <col min="12302" max="12302" width="12.453125" style="14" customWidth="1"/>
    <col min="12303" max="12303" width="10.7265625" style="14" customWidth="1"/>
    <col min="12304" max="12304" width="12.453125" style="14" bestFit="1" customWidth="1"/>
    <col min="12305" max="12305" width="10.26953125" style="14" bestFit="1" customWidth="1"/>
    <col min="12306" max="12306" width="13.1796875" style="14" bestFit="1" customWidth="1"/>
    <col min="12307" max="12307" width="12.453125" style="14" bestFit="1" customWidth="1"/>
    <col min="12308" max="12545" width="9.1796875" style="14"/>
    <col min="12546" max="12546" width="9.26953125" style="14" bestFit="1" customWidth="1"/>
    <col min="12547" max="12547" width="9.1796875" style="14"/>
    <col min="12548" max="12550" width="9.26953125" style="14" bestFit="1" customWidth="1"/>
    <col min="12551" max="12551" width="9.1796875" style="14"/>
    <col min="12552" max="12552" width="9.26953125" style="14" bestFit="1" customWidth="1"/>
    <col min="12553" max="12554" width="9.1796875" style="14"/>
    <col min="12555" max="12555" width="9.26953125" style="14" bestFit="1" customWidth="1"/>
    <col min="12556" max="12556" width="9.1796875" style="14"/>
    <col min="12557" max="12557" width="9.26953125" style="14" bestFit="1" customWidth="1"/>
    <col min="12558" max="12558" width="12.453125" style="14" customWidth="1"/>
    <col min="12559" max="12559" width="10.7265625" style="14" customWidth="1"/>
    <col min="12560" max="12560" width="12.453125" style="14" bestFit="1" customWidth="1"/>
    <col min="12561" max="12561" width="10.26953125" style="14" bestFit="1" customWidth="1"/>
    <col min="12562" max="12562" width="13.1796875" style="14" bestFit="1" customWidth="1"/>
    <col min="12563" max="12563" width="12.453125" style="14" bestFit="1" customWidth="1"/>
    <col min="12564" max="12801" width="9.1796875" style="14"/>
    <col min="12802" max="12802" width="9.26953125" style="14" bestFit="1" customWidth="1"/>
    <col min="12803" max="12803" width="9.1796875" style="14"/>
    <col min="12804" max="12806" width="9.26953125" style="14" bestFit="1" customWidth="1"/>
    <col min="12807" max="12807" width="9.1796875" style="14"/>
    <col min="12808" max="12808" width="9.26953125" style="14" bestFit="1" customWidth="1"/>
    <col min="12809" max="12810" width="9.1796875" style="14"/>
    <col min="12811" max="12811" width="9.26953125" style="14" bestFit="1" customWidth="1"/>
    <col min="12812" max="12812" width="9.1796875" style="14"/>
    <col min="12813" max="12813" width="9.26953125" style="14" bestFit="1" customWidth="1"/>
    <col min="12814" max="12814" width="12.453125" style="14" customWidth="1"/>
    <col min="12815" max="12815" width="10.7265625" style="14" customWidth="1"/>
    <col min="12816" max="12816" width="12.453125" style="14" bestFit="1" customWidth="1"/>
    <col min="12817" max="12817" width="10.26953125" style="14" bestFit="1" customWidth="1"/>
    <col min="12818" max="12818" width="13.1796875" style="14" bestFit="1" customWidth="1"/>
    <col min="12819" max="12819" width="12.453125" style="14" bestFit="1" customWidth="1"/>
    <col min="12820" max="13057" width="9.1796875" style="14"/>
    <col min="13058" max="13058" width="9.26953125" style="14" bestFit="1" customWidth="1"/>
    <col min="13059" max="13059" width="9.1796875" style="14"/>
    <col min="13060" max="13062" width="9.26953125" style="14" bestFit="1" customWidth="1"/>
    <col min="13063" max="13063" width="9.1796875" style="14"/>
    <col min="13064" max="13064" width="9.26953125" style="14" bestFit="1" customWidth="1"/>
    <col min="13065" max="13066" width="9.1796875" style="14"/>
    <col min="13067" max="13067" width="9.26953125" style="14" bestFit="1" customWidth="1"/>
    <col min="13068" max="13068" width="9.1796875" style="14"/>
    <col min="13069" max="13069" width="9.26953125" style="14" bestFit="1" customWidth="1"/>
    <col min="13070" max="13070" width="12.453125" style="14" customWidth="1"/>
    <col min="13071" max="13071" width="10.7265625" style="14" customWidth="1"/>
    <col min="13072" max="13072" width="12.453125" style="14" bestFit="1" customWidth="1"/>
    <col min="13073" max="13073" width="10.26953125" style="14" bestFit="1" customWidth="1"/>
    <col min="13074" max="13074" width="13.1796875" style="14" bestFit="1" customWidth="1"/>
    <col min="13075" max="13075" width="12.453125" style="14" bestFit="1" customWidth="1"/>
    <col min="13076" max="13313" width="9.1796875" style="14"/>
    <col min="13314" max="13314" width="9.26953125" style="14" bestFit="1" customWidth="1"/>
    <col min="13315" max="13315" width="9.1796875" style="14"/>
    <col min="13316" max="13318" width="9.26953125" style="14" bestFit="1" customWidth="1"/>
    <col min="13319" max="13319" width="9.1796875" style="14"/>
    <col min="13320" max="13320" width="9.26953125" style="14" bestFit="1" customWidth="1"/>
    <col min="13321" max="13322" width="9.1796875" style="14"/>
    <col min="13323" max="13323" width="9.26953125" style="14" bestFit="1" customWidth="1"/>
    <col min="13324" max="13324" width="9.1796875" style="14"/>
    <col min="13325" max="13325" width="9.26953125" style="14" bestFit="1" customWidth="1"/>
    <col min="13326" max="13326" width="12.453125" style="14" customWidth="1"/>
    <col min="13327" max="13327" width="10.7265625" style="14" customWidth="1"/>
    <col min="13328" max="13328" width="12.453125" style="14" bestFit="1" customWidth="1"/>
    <col min="13329" max="13329" width="10.26953125" style="14" bestFit="1" customWidth="1"/>
    <col min="13330" max="13330" width="13.1796875" style="14" bestFit="1" customWidth="1"/>
    <col min="13331" max="13331" width="12.453125" style="14" bestFit="1" customWidth="1"/>
    <col min="13332" max="13569" width="9.1796875" style="14"/>
    <col min="13570" max="13570" width="9.26953125" style="14" bestFit="1" customWidth="1"/>
    <col min="13571" max="13571" width="9.1796875" style="14"/>
    <col min="13572" max="13574" width="9.26953125" style="14" bestFit="1" customWidth="1"/>
    <col min="13575" max="13575" width="9.1796875" style="14"/>
    <col min="13576" max="13576" width="9.26953125" style="14" bestFit="1" customWidth="1"/>
    <col min="13577" max="13578" width="9.1796875" style="14"/>
    <col min="13579" max="13579" width="9.26953125" style="14" bestFit="1" customWidth="1"/>
    <col min="13580" max="13580" width="9.1796875" style="14"/>
    <col min="13581" max="13581" width="9.26953125" style="14" bestFit="1" customWidth="1"/>
    <col min="13582" max="13582" width="12.453125" style="14" customWidth="1"/>
    <col min="13583" max="13583" width="10.7265625" style="14" customWidth="1"/>
    <col min="13584" max="13584" width="12.453125" style="14" bestFit="1" customWidth="1"/>
    <col min="13585" max="13585" width="10.26953125" style="14" bestFit="1" customWidth="1"/>
    <col min="13586" max="13586" width="13.1796875" style="14" bestFit="1" customWidth="1"/>
    <col min="13587" max="13587" width="12.453125" style="14" bestFit="1" customWidth="1"/>
    <col min="13588" max="13825" width="9.1796875" style="14"/>
    <col min="13826" max="13826" width="9.26953125" style="14" bestFit="1" customWidth="1"/>
    <col min="13827" max="13827" width="9.1796875" style="14"/>
    <col min="13828" max="13830" width="9.26953125" style="14" bestFit="1" customWidth="1"/>
    <col min="13831" max="13831" width="9.1796875" style="14"/>
    <col min="13832" max="13832" width="9.26953125" style="14" bestFit="1" customWidth="1"/>
    <col min="13833" max="13834" width="9.1796875" style="14"/>
    <col min="13835" max="13835" width="9.26953125" style="14" bestFit="1" customWidth="1"/>
    <col min="13836" max="13836" width="9.1796875" style="14"/>
    <col min="13837" max="13837" width="9.26953125" style="14" bestFit="1" customWidth="1"/>
    <col min="13838" max="13838" width="12.453125" style="14" customWidth="1"/>
    <col min="13839" max="13839" width="10.7265625" style="14" customWidth="1"/>
    <col min="13840" max="13840" width="12.453125" style="14" bestFit="1" customWidth="1"/>
    <col min="13841" max="13841" width="10.26953125" style="14" bestFit="1" customWidth="1"/>
    <col min="13842" max="13842" width="13.1796875" style="14" bestFit="1" customWidth="1"/>
    <col min="13843" max="13843" width="12.453125" style="14" bestFit="1" customWidth="1"/>
    <col min="13844" max="14081" width="9.1796875" style="14"/>
    <col min="14082" max="14082" width="9.26953125" style="14" bestFit="1" customWidth="1"/>
    <col min="14083" max="14083" width="9.1796875" style="14"/>
    <col min="14084" max="14086" width="9.26953125" style="14" bestFit="1" customWidth="1"/>
    <col min="14087" max="14087" width="9.1796875" style="14"/>
    <col min="14088" max="14088" width="9.26953125" style="14" bestFit="1" customWidth="1"/>
    <col min="14089" max="14090" width="9.1796875" style="14"/>
    <col min="14091" max="14091" width="9.26953125" style="14" bestFit="1" customWidth="1"/>
    <col min="14092" max="14092" width="9.1796875" style="14"/>
    <col min="14093" max="14093" width="9.26953125" style="14" bestFit="1" customWidth="1"/>
    <col min="14094" max="14094" width="12.453125" style="14" customWidth="1"/>
    <col min="14095" max="14095" width="10.7265625" style="14" customWidth="1"/>
    <col min="14096" max="14096" width="12.453125" style="14" bestFit="1" customWidth="1"/>
    <col min="14097" max="14097" width="10.26953125" style="14" bestFit="1" customWidth="1"/>
    <col min="14098" max="14098" width="13.1796875" style="14" bestFit="1" customWidth="1"/>
    <col min="14099" max="14099" width="12.453125" style="14" bestFit="1" customWidth="1"/>
    <col min="14100" max="14337" width="9.1796875" style="14"/>
    <col min="14338" max="14338" width="9.26953125" style="14" bestFit="1" customWidth="1"/>
    <col min="14339" max="14339" width="9.1796875" style="14"/>
    <col min="14340" max="14342" width="9.26953125" style="14" bestFit="1" customWidth="1"/>
    <col min="14343" max="14343" width="9.1796875" style="14"/>
    <col min="14344" max="14344" width="9.26953125" style="14" bestFit="1" customWidth="1"/>
    <col min="14345" max="14346" width="9.1796875" style="14"/>
    <col min="14347" max="14347" width="9.26953125" style="14" bestFit="1" customWidth="1"/>
    <col min="14348" max="14348" width="9.1796875" style="14"/>
    <col min="14349" max="14349" width="9.26953125" style="14" bestFit="1" customWidth="1"/>
    <col min="14350" max="14350" width="12.453125" style="14" customWidth="1"/>
    <col min="14351" max="14351" width="10.7265625" style="14" customWidth="1"/>
    <col min="14352" max="14352" width="12.453125" style="14" bestFit="1" customWidth="1"/>
    <col min="14353" max="14353" width="10.26953125" style="14" bestFit="1" customWidth="1"/>
    <col min="14354" max="14354" width="13.1796875" style="14" bestFit="1" customWidth="1"/>
    <col min="14355" max="14355" width="12.453125" style="14" bestFit="1" customWidth="1"/>
    <col min="14356" max="14593" width="9.1796875" style="14"/>
    <col min="14594" max="14594" width="9.26953125" style="14" bestFit="1" customWidth="1"/>
    <col min="14595" max="14595" width="9.1796875" style="14"/>
    <col min="14596" max="14598" width="9.26953125" style="14" bestFit="1" customWidth="1"/>
    <col min="14599" max="14599" width="9.1796875" style="14"/>
    <col min="14600" max="14600" width="9.26953125" style="14" bestFit="1" customWidth="1"/>
    <col min="14601" max="14602" width="9.1796875" style="14"/>
    <col min="14603" max="14603" width="9.26953125" style="14" bestFit="1" customWidth="1"/>
    <col min="14604" max="14604" width="9.1796875" style="14"/>
    <col min="14605" max="14605" width="9.26953125" style="14" bestFit="1" customWidth="1"/>
    <col min="14606" max="14606" width="12.453125" style="14" customWidth="1"/>
    <col min="14607" max="14607" width="10.7265625" style="14" customWidth="1"/>
    <col min="14608" max="14608" width="12.453125" style="14" bestFit="1" customWidth="1"/>
    <col min="14609" max="14609" width="10.26953125" style="14" bestFit="1" customWidth="1"/>
    <col min="14610" max="14610" width="13.1796875" style="14" bestFit="1" customWidth="1"/>
    <col min="14611" max="14611" width="12.453125" style="14" bestFit="1" customWidth="1"/>
    <col min="14612" max="14849" width="9.1796875" style="14"/>
    <col min="14850" max="14850" width="9.26953125" style="14" bestFit="1" customWidth="1"/>
    <col min="14851" max="14851" width="9.1796875" style="14"/>
    <col min="14852" max="14854" width="9.26953125" style="14" bestFit="1" customWidth="1"/>
    <col min="14855" max="14855" width="9.1796875" style="14"/>
    <col min="14856" max="14856" width="9.26953125" style="14" bestFit="1" customWidth="1"/>
    <col min="14857" max="14858" width="9.1796875" style="14"/>
    <col min="14859" max="14859" width="9.26953125" style="14" bestFit="1" customWidth="1"/>
    <col min="14860" max="14860" width="9.1796875" style="14"/>
    <col min="14861" max="14861" width="9.26953125" style="14" bestFit="1" customWidth="1"/>
    <col min="14862" max="14862" width="12.453125" style="14" customWidth="1"/>
    <col min="14863" max="14863" width="10.7265625" style="14" customWidth="1"/>
    <col min="14864" max="14864" width="12.453125" style="14" bestFit="1" customWidth="1"/>
    <col min="14865" max="14865" width="10.26953125" style="14" bestFit="1" customWidth="1"/>
    <col min="14866" max="14866" width="13.1796875" style="14" bestFit="1" customWidth="1"/>
    <col min="14867" max="14867" width="12.453125" style="14" bestFit="1" customWidth="1"/>
    <col min="14868" max="15105" width="9.1796875" style="14"/>
    <col min="15106" max="15106" width="9.26953125" style="14" bestFit="1" customWidth="1"/>
    <col min="15107" max="15107" width="9.1796875" style="14"/>
    <col min="15108" max="15110" width="9.26953125" style="14" bestFit="1" customWidth="1"/>
    <col min="15111" max="15111" width="9.1796875" style="14"/>
    <col min="15112" max="15112" width="9.26953125" style="14" bestFit="1" customWidth="1"/>
    <col min="15113" max="15114" width="9.1796875" style="14"/>
    <col min="15115" max="15115" width="9.26953125" style="14" bestFit="1" customWidth="1"/>
    <col min="15116" max="15116" width="9.1796875" style="14"/>
    <col min="15117" max="15117" width="9.26953125" style="14" bestFit="1" customWidth="1"/>
    <col min="15118" max="15118" width="12.453125" style="14" customWidth="1"/>
    <col min="15119" max="15119" width="10.7265625" style="14" customWidth="1"/>
    <col min="15120" max="15120" width="12.453125" style="14" bestFit="1" customWidth="1"/>
    <col min="15121" max="15121" width="10.26953125" style="14" bestFit="1" customWidth="1"/>
    <col min="15122" max="15122" width="13.1796875" style="14" bestFit="1" customWidth="1"/>
    <col min="15123" max="15123" width="12.453125" style="14" bestFit="1" customWidth="1"/>
    <col min="15124" max="15361" width="9.1796875" style="14"/>
    <col min="15362" max="15362" width="9.26953125" style="14" bestFit="1" customWidth="1"/>
    <col min="15363" max="15363" width="9.1796875" style="14"/>
    <col min="15364" max="15366" width="9.26953125" style="14" bestFit="1" customWidth="1"/>
    <col min="15367" max="15367" width="9.1796875" style="14"/>
    <col min="15368" max="15368" width="9.26953125" style="14" bestFit="1" customWidth="1"/>
    <col min="15369" max="15370" width="9.1796875" style="14"/>
    <col min="15371" max="15371" width="9.26953125" style="14" bestFit="1" customWidth="1"/>
    <col min="15372" max="15372" width="9.1796875" style="14"/>
    <col min="15373" max="15373" width="9.26953125" style="14" bestFit="1" customWidth="1"/>
    <col min="15374" max="15374" width="12.453125" style="14" customWidth="1"/>
    <col min="15375" max="15375" width="10.7265625" style="14" customWidth="1"/>
    <col min="15376" max="15376" width="12.453125" style="14" bestFit="1" customWidth="1"/>
    <col min="15377" max="15377" width="10.26953125" style="14" bestFit="1" customWidth="1"/>
    <col min="15378" max="15378" width="13.1796875" style="14" bestFit="1" customWidth="1"/>
    <col min="15379" max="15379" width="12.453125" style="14" bestFit="1" customWidth="1"/>
    <col min="15380" max="15617" width="9.1796875" style="14"/>
    <col min="15618" max="15618" width="9.26953125" style="14" bestFit="1" customWidth="1"/>
    <col min="15619" max="15619" width="9.1796875" style="14"/>
    <col min="15620" max="15622" width="9.26953125" style="14" bestFit="1" customWidth="1"/>
    <col min="15623" max="15623" width="9.1796875" style="14"/>
    <col min="15624" max="15624" width="9.26953125" style="14" bestFit="1" customWidth="1"/>
    <col min="15625" max="15626" width="9.1796875" style="14"/>
    <col min="15627" max="15627" width="9.26953125" style="14" bestFit="1" customWidth="1"/>
    <col min="15628" max="15628" width="9.1796875" style="14"/>
    <col min="15629" max="15629" width="9.26953125" style="14" bestFit="1" customWidth="1"/>
    <col min="15630" max="15630" width="12.453125" style="14" customWidth="1"/>
    <col min="15631" max="15631" width="10.7265625" style="14" customWidth="1"/>
    <col min="15632" max="15632" width="12.453125" style="14" bestFit="1" customWidth="1"/>
    <col min="15633" max="15633" width="10.26953125" style="14" bestFit="1" customWidth="1"/>
    <col min="15634" max="15634" width="13.1796875" style="14" bestFit="1" customWidth="1"/>
    <col min="15635" max="15635" width="12.453125" style="14" bestFit="1" customWidth="1"/>
    <col min="15636" max="15873" width="9.1796875" style="14"/>
    <col min="15874" max="15874" width="9.26953125" style="14" bestFit="1" customWidth="1"/>
    <col min="15875" max="15875" width="9.1796875" style="14"/>
    <col min="15876" max="15878" width="9.26953125" style="14" bestFit="1" customWidth="1"/>
    <col min="15879" max="15879" width="9.1796875" style="14"/>
    <col min="15880" max="15880" width="9.26953125" style="14" bestFit="1" customWidth="1"/>
    <col min="15881" max="15882" width="9.1796875" style="14"/>
    <col min="15883" max="15883" width="9.26953125" style="14" bestFit="1" customWidth="1"/>
    <col min="15884" max="15884" width="9.1796875" style="14"/>
    <col min="15885" max="15885" width="9.26953125" style="14" bestFit="1" customWidth="1"/>
    <col min="15886" max="15886" width="12.453125" style="14" customWidth="1"/>
    <col min="15887" max="15887" width="10.7265625" style="14" customWidth="1"/>
    <col min="15888" max="15888" width="12.453125" style="14" bestFit="1" customWidth="1"/>
    <col min="15889" max="15889" width="10.26953125" style="14" bestFit="1" customWidth="1"/>
    <col min="15890" max="15890" width="13.1796875" style="14" bestFit="1" customWidth="1"/>
    <col min="15891" max="15891" width="12.453125" style="14" bestFit="1" customWidth="1"/>
    <col min="15892" max="16129" width="9.1796875" style="14"/>
    <col min="16130" max="16130" width="9.26953125" style="14" bestFit="1" customWidth="1"/>
    <col min="16131" max="16131" width="9.1796875" style="14"/>
    <col min="16132" max="16134" width="9.26953125" style="14" bestFit="1" customWidth="1"/>
    <col min="16135" max="16135" width="9.1796875" style="14"/>
    <col min="16136" max="16136" width="9.26953125" style="14" bestFit="1" customWidth="1"/>
    <col min="16137" max="16138" width="9.1796875" style="14"/>
    <col min="16139" max="16139" width="9.26953125" style="14" bestFit="1" customWidth="1"/>
    <col min="16140" max="16140" width="9.1796875" style="14"/>
    <col min="16141" max="16141" width="9.26953125" style="14" bestFit="1" customWidth="1"/>
    <col min="16142" max="16142" width="12.453125" style="14" customWidth="1"/>
    <col min="16143" max="16143" width="10.7265625" style="14" customWidth="1"/>
    <col min="16144" max="16144" width="12.453125" style="14" bestFit="1" customWidth="1"/>
    <col min="16145" max="16145" width="10.26953125" style="14" bestFit="1" customWidth="1"/>
    <col min="16146" max="16146" width="13.1796875" style="14" bestFit="1" customWidth="1"/>
    <col min="16147" max="16147" width="12.453125" style="14" bestFit="1" customWidth="1"/>
    <col min="16148" max="16384" width="9.1796875" style="14"/>
  </cols>
  <sheetData>
    <row r="14" spans="1:37" ht="20.149999999999999" customHeight="1">
      <c r="A14" s="44"/>
    </row>
    <row r="15" spans="1:37" ht="20.149999999999999" customHeight="1">
      <c r="A15" s="44"/>
    </row>
    <row r="16" spans="1:37" ht="20.149999999999999" customHeight="1">
      <c r="O16" s="56"/>
      <c r="P16" s="56"/>
      <c r="Q16" s="56"/>
      <c r="R16" s="56"/>
      <c r="S16" s="56"/>
      <c r="T16" s="56"/>
      <c r="U16" s="56"/>
      <c r="V16" s="56"/>
      <c r="W16" s="56"/>
      <c r="X16" s="56"/>
      <c r="Y16" s="56"/>
      <c r="Z16" s="56"/>
      <c r="AA16" s="56"/>
      <c r="AB16" s="56"/>
      <c r="AC16" s="56"/>
      <c r="AD16" s="56"/>
      <c r="AE16" s="56"/>
      <c r="AF16" s="56"/>
      <c r="AG16" s="56"/>
      <c r="AH16" s="56"/>
      <c r="AI16" s="56"/>
      <c r="AJ16" s="56"/>
      <c r="AK16" s="56"/>
    </row>
    <row r="17" spans="1:37" ht="20.149999999999999" customHeight="1">
      <c r="A17" s="54"/>
      <c r="B17" s="55"/>
      <c r="C17" s="56"/>
      <c r="D17" s="56"/>
      <c r="E17" s="56"/>
      <c r="F17" s="56"/>
      <c r="H17" s="44"/>
      <c r="I17" s="44"/>
      <c r="J17" s="45"/>
      <c r="K17" s="67">
        <f>RAI!G2</f>
        <v>0.34807692307692312</v>
      </c>
      <c r="O17" s="56"/>
      <c r="P17" s="56"/>
      <c r="Q17" s="54"/>
      <c r="R17" s="61"/>
      <c r="S17" s="56"/>
      <c r="T17" s="56"/>
      <c r="U17" s="56"/>
      <c r="V17" s="56"/>
      <c r="W17" s="56"/>
      <c r="X17" s="54"/>
      <c r="Y17" s="61"/>
      <c r="Z17" s="56"/>
      <c r="AA17" s="56"/>
      <c r="AB17" s="56"/>
      <c r="AC17" s="56"/>
      <c r="AD17" s="56"/>
      <c r="AE17" s="56"/>
      <c r="AF17" s="54"/>
      <c r="AG17" s="62"/>
      <c r="AH17" s="56"/>
      <c r="AI17" s="56"/>
      <c r="AJ17" s="56"/>
      <c r="AK17" s="56"/>
    </row>
    <row r="18" spans="1:37" ht="20.149999999999999" customHeight="1">
      <c r="A18" s="57"/>
      <c r="B18" s="58"/>
      <c r="C18" s="59"/>
      <c r="D18" s="59"/>
      <c r="E18" s="59"/>
      <c r="F18" s="59"/>
      <c r="G18" s="66" t="s">
        <v>112</v>
      </c>
      <c r="H18" s="48"/>
      <c r="I18" s="66" t="s">
        <v>113</v>
      </c>
      <c r="J18" s="46">
        <f>IF(ISERR(K17),0,IF(K17="NA",0,K17*100))</f>
        <v>34.807692307692314</v>
      </c>
      <c r="K18" s="47"/>
      <c r="L18" s="66" t="s">
        <v>114</v>
      </c>
      <c r="M18" s="66" t="s">
        <v>115</v>
      </c>
      <c r="N18" s="66" t="s">
        <v>116</v>
      </c>
      <c r="O18" s="56"/>
      <c r="P18" s="66" t="s">
        <v>117</v>
      </c>
      <c r="Q18" s="66" t="s">
        <v>115</v>
      </c>
      <c r="R18" s="66" t="s">
        <v>116</v>
      </c>
      <c r="S18" s="44" t="s">
        <v>118</v>
      </c>
      <c r="T18" s="59"/>
      <c r="U18" s="59"/>
      <c r="V18" s="56"/>
      <c r="W18" s="57"/>
      <c r="X18" s="58"/>
      <c r="Y18" s="59"/>
      <c r="Z18" s="59"/>
      <c r="AA18" s="59"/>
      <c r="AB18" s="59"/>
      <c r="AC18" s="56"/>
      <c r="AD18" s="56"/>
      <c r="AE18" s="57"/>
      <c r="AF18" s="60"/>
      <c r="AG18" s="59"/>
      <c r="AH18" s="59"/>
      <c r="AI18" s="59"/>
      <c r="AJ18" s="59"/>
      <c r="AK18" s="56"/>
    </row>
    <row r="19" spans="1:37" ht="20.149999999999999" customHeight="1">
      <c r="A19" s="59"/>
      <c r="B19" s="59"/>
      <c r="C19" s="59"/>
      <c r="D19" s="60"/>
      <c r="E19" s="60"/>
      <c r="F19" s="60"/>
      <c r="G19" s="50">
        <v>5</v>
      </c>
      <c r="H19" s="48"/>
      <c r="I19" s="66" t="s">
        <v>119</v>
      </c>
      <c r="J19" s="47">
        <v>100</v>
      </c>
      <c r="K19" s="47"/>
      <c r="L19" s="49"/>
      <c r="M19" s="49">
        <v>0</v>
      </c>
      <c r="N19" s="47">
        <v>0</v>
      </c>
      <c r="O19" s="56"/>
      <c r="P19" s="52">
        <v>0</v>
      </c>
      <c r="Q19" s="51">
        <v>-1</v>
      </c>
      <c r="R19" s="51">
        <v>0</v>
      </c>
      <c r="T19" s="60"/>
      <c r="U19" s="60"/>
      <c r="V19" s="56"/>
      <c r="W19" s="59"/>
      <c r="X19" s="59"/>
      <c r="Y19" s="59"/>
      <c r="Z19" s="60"/>
      <c r="AA19" s="60"/>
      <c r="AB19" s="60"/>
      <c r="AC19" s="56"/>
      <c r="AD19" s="56"/>
      <c r="AE19" s="59"/>
      <c r="AF19" s="59"/>
      <c r="AG19" s="59"/>
      <c r="AH19" s="60"/>
      <c r="AI19" s="60"/>
      <c r="AJ19" s="60"/>
      <c r="AK19" s="56"/>
    </row>
    <row r="20" spans="1:37" ht="20.149999999999999" customHeight="1">
      <c r="A20" s="59"/>
      <c r="B20" s="59"/>
      <c r="C20" s="59"/>
      <c r="D20" s="60"/>
      <c r="E20" s="60"/>
      <c r="F20" s="60"/>
      <c r="G20" s="50">
        <v>10</v>
      </c>
      <c r="H20" s="48"/>
      <c r="I20" s="66" t="s">
        <v>120</v>
      </c>
      <c r="J20" s="47">
        <v>0</v>
      </c>
      <c r="K20" s="47"/>
      <c r="L20" s="49">
        <f>(J18 - J20) / (J19 - J20) * PI()</f>
        <v>1.0935159044226013</v>
      </c>
      <c r="M20" s="49">
        <f>-J21 * COS(L20)</f>
        <v>-0.43180330612803935</v>
      </c>
      <c r="N20" s="47">
        <f>J21 * SIN(L20)</f>
        <v>0.83495263627159988</v>
      </c>
      <c r="O20" s="56"/>
      <c r="P20" s="52">
        <v>10</v>
      </c>
      <c r="Q20" s="51">
        <v>-0.95105651629515353</v>
      </c>
      <c r="R20" s="51">
        <v>0.3090169943749474</v>
      </c>
      <c r="T20" s="60"/>
      <c r="U20" s="60"/>
      <c r="V20" s="56"/>
      <c r="W20" s="59"/>
      <c r="X20" s="59"/>
      <c r="Y20" s="59"/>
      <c r="Z20" s="60"/>
      <c r="AA20" s="60"/>
      <c r="AB20" s="60"/>
      <c r="AC20" s="56"/>
      <c r="AD20" s="56"/>
      <c r="AE20" s="59"/>
      <c r="AF20" s="59"/>
      <c r="AG20" s="59"/>
      <c r="AH20" s="60"/>
      <c r="AI20" s="60"/>
      <c r="AJ20" s="60"/>
      <c r="AK20" s="56"/>
    </row>
    <row r="21" spans="1:37" ht="20.149999999999999" customHeight="1">
      <c r="A21" s="59"/>
      <c r="B21" s="59"/>
      <c r="C21" s="59"/>
      <c r="D21" s="60"/>
      <c r="E21" s="60"/>
      <c r="F21" s="60"/>
      <c r="G21" s="50">
        <v>10</v>
      </c>
      <c r="H21" s="48"/>
      <c r="I21" s="66" t="s">
        <v>121</v>
      </c>
      <c r="J21" s="47">
        <v>0.94</v>
      </c>
      <c r="K21" s="47"/>
      <c r="L21" s="49"/>
      <c r="M21" s="49"/>
      <c r="N21" s="47"/>
      <c r="O21" s="56"/>
      <c r="P21" s="52">
        <v>20</v>
      </c>
      <c r="Q21" s="51">
        <v>-0.80901699437494745</v>
      </c>
      <c r="R21" s="51">
        <v>0.58778525229247314</v>
      </c>
      <c r="T21" s="60"/>
      <c r="U21" s="60"/>
      <c r="V21" s="56"/>
      <c r="W21" s="59"/>
      <c r="X21" s="59"/>
      <c r="Y21" s="59"/>
      <c r="Z21" s="60"/>
      <c r="AA21" s="60"/>
      <c r="AB21" s="60"/>
      <c r="AC21" s="56"/>
      <c r="AD21" s="56"/>
      <c r="AE21" s="59"/>
      <c r="AF21" s="59"/>
      <c r="AG21" s="59"/>
      <c r="AH21" s="60"/>
      <c r="AI21" s="60"/>
      <c r="AJ21" s="60"/>
      <c r="AK21" s="56"/>
    </row>
    <row r="22" spans="1:37" ht="20.149999999999999" customHeight="1">
      <c r="F22" s="48"/>
      <c r="G22" s="50">
        <v>25</v>
      </c>
      <c r="H22" s="48"/>
      <c r="O22" s="56"/>
      <c r="P22" s="52">
        <v>30</v>
      </c>
      <c r="Q22" s="51">
        <v>-0.58778525229247314</v>
      </c>
      <c r="R22" s="51">
        <v>0.80901699437494745</v>
      </c>
      <c r="T22" s="56"/>
      <c r="U22" s="56"/>
      <c r="V22" s="56"/>
      <c r="W22" s="56"/>
      <c r="X22" s="56"/>
      <c r="Y22" s="56"/>
      <c r="Z22" s="56"/>
      <c r="AA22" s="56"/>
      <c r="AB22" s="56"/>
      <c r="AC22" s="56"/>
      <c r="AD22" s="56"/>
      <c r="AE22" s="56"/>
      <c r="AF22" s="56"/>
      <c r="AG22" s="56"/>
      <c r="AH22" s="56"/>
      <c r="AI22" s="56"/>
      <c r="AJ22" s="56"/>
      <c r="AK22" s="56"/>
    </row>
    <row r="23" spans="1:37" ht="20.149999999999999" customHeight="1">
      <c r="G23" s="50">
        <v>50</v>
      </c>
      <c r="O23" s="56"/>
      <c r="P23" s="52">
        <v>40</v>
      </c>
      <c r="Q23" s="51">
        <v>-0.30901699437494745</v>
      </c>
      <c r="R23" s="51">
        <v>0.95105651629515353</v>
      </c>
      <c r="T23" s="56"/>
      <c r="U23" s="56"/>
      <c r="V23" s="56"/>
      <c r="W23" s="56"/>
      <c r="X23" s="56"/>
      <c r="Y23" s="56"/>
      <c r="Z23" s="56"/>
      <c r="AA23" s="56"/>
      <c r="AB23" s="56"/>
      <c r="AC23" s="56"/>
      <c r="AD23" s="56"/>
      <c r="AE23" s="56"/>
      <c r="AF23" s="56"/>
      <c r="AG23" s="56"/>
      <c r="AH23" s="56"/>
      <c r="AI23" s="56"/>
      <c r="AJ23" s="56"/>
      <c r="AK23" s="56"/>
    </row>
    <row r="24" spans="1:37" ht="20.149999999999999" customHeight="1">
      <c r="O24" s="56"/>
      <c r="P24" s="52">
        <v>50</v>
      </c>
      <c r="Q24" s="51">
        <v>-6.1257422745431001E-17</v>
      </c>
      <c r="R24" s="51">
        <v>1</v>
      </c>
      <c r="T24" s="56"/>
      <c r="U24" s="56"/>
      <c r="V24" s="56"/>
      <c r="W24" s="56"/>
      <c r="X24" s="56"/>
      <c r="Y24" s="56"/>
      <c r="Z24" s="56"/>
      <c r="AA24" s="56"/>
      <c r="AB24" s="56"/>
      <c r="AC24" s="56"/>
      <c r="AD24" s="56"/>
      <c r="AE24" s="56"/>
      <c r="AF24" s="56"/>
      <c r="AG24" s="56"/>
      <c r="AH24" s="56"/>
      <c r="AI24" s="56"/>
      <c r="AJ24" s="56"/>
      <c r="AK24" s="56"/>
    </row>
    <row r="25" spans="1:37" ht="20.149999999999999" customHeight="1">
      <c r="P25" s="52">
        <v>60</v>
      </c>
      <c r="Q25" s="51">
        <v>0.30901699437494734</v>
      </c>
      <c r="R25" s="51">
        <v>0.95105651629515364</v>
      </c>
    </row>
    <row r="26" spans="1:37" ht="20.149999999999999" customHeight="1">
      <c r="P26" s="52">
        <v>70</v>
      </c>
      <c r="Q26" s="51">
        <v>0.58778525229247303</v>
      </c>
      <c r="R26" s="51">
        <v>0.80901699437494745</v>
      </c>
    </row>
    <row r="27" spans="1:37" ht="20.149999999999999" customHeight="1">
      <c r="P27" s="52">
        <v>80</v>
      </c>
      <c r="Q27" s="51">
        <v>0.80901699437494734</v>
      </c>
      <c r="R27" s="51">
        <v>0.58778525229247325</v>
      </c>
    </row>
    <row r="28" spans="1:37" ht="20.149999999999999" customHeight="1">
      <c r="P28" s="52">
        <v>90</v>
      </c>
      <c r="Q28" s="51">
        <v>0.95105651629515353</v>
      </c>
      <c r="R28" s="51">
        <v>0.30901699437494751</v>
      </c>
    </row>
    <row r="29" spans="1:37" ht="20.149999999999999" customHeight="1">
      <c r="P29" s="52">
        <v>100</v>
      </c>
      <c r="Q29" s="53">
        <v>1</v>
      </c>
      <c r="R29" s="53">
        <v>1.22514845490862E-16</v>
      </c>
    </row>
    <row r="31" spans="1:37" ht="20.149999999999999" customHeight="1">
      <c r="D31" s="63"/>
      <c r="E31" s="63"/>
      <c r="F31" s="63"/>
      <c r="G31" s="44"/>
      <c r="H31" s="63"/>
      <c r="I31" s="63"/>
    </row>
    <row r="32" spans="1:37" ht="20.149999999999999" customHeight="1">
      <c r="D32" s="63"/>
      <c r="E32" s="64"/>
      <c r="F32" s="64"/>
      <c r="G32" s="65"/>
      <c r="H32" s="64"/>
      <c r="I32" s="64"/>
    </row>
    <row r="33" spans="4:9" ht="20.149999999999999" customHeight="1">
      <c r="D33" s="63"/>
      <c r="E33" s="64"/>
      <c r="F33" s="64"/>
      <c r="G33" s="65"/>
      <c r="H33" s="64"/>
      <c r="I33" s="64"/>
    </row>
    <row r="34" spans="4:9" ht="20.149999999999999" customHeight="1">
      <c r="D34" s="63"/>
      <c r="E34" s="64"/>
      <c r="F34" s="64"/>
      <c r="G34" s="65"/>
      <c r="H34" s="64"/>
      <c r="I34" s="64"/>
    </row>
    <row r="35" spans="4:9" ht="20.149999999999999" customHeight="1">
      <c r="D35" s="63"/>
      <c r="E35" s="64"/>
      <c r="F35" s="64"/>
      <c r="G35" s="65"/>
      <c r="H35" s="64"/>
      <c r="I35" s="64"/>
    </row>
    <row r="36" spans="4:9" ht="20.149999999999999" customHeight="1">
      <c r="D36" s="63"/>
      <c r="E36" s="64"/>
      <c r="F36" s="64"/>
      <c r="G36" s="65"/>
      <c r="H36" s="64"/>
      <c r="I36" s="64"/>
    </row>
    <row r="37" spans="4:9" ht="20.149999999999999" customHeight="1">
      <c r="D37" s="63"/>
      <c r="E37" s="64"/>
      <c r="F37" s="64"/>
      <c r="G37" s="65"/>
      <c r="H37" s="64"/>
      <c r="I37" s="64"/>
    </row>
    <row r="38" spans="4:9" ht="20.149999999999999" customHeight="1">
      <c r="D38" s="63"/>
      <c r="E38" s="64"/>
      <c r="F38" s="64"/>
      <c r="G38" s="65"/>
      <c r="H38" s="64"/>
      <c r="I38" s="64"/>
    </row>
    <row r="39" spans="4:9" ht="20.149999999999999" customHeight="1">
      <c r="D39" s="63"/>
      <c r="E39" s="64"/>
      <c r="F39" s="64"/>
      <c r="G39" s="65"/>
      <c r="H39" s="64"/>
      <c r="I39" s="64"/>
    </row>
    <row r="40" spans="4:9" ht="20.149999999999999" customHeight="1">
      <c r="D40" s="63"/>
      <c r="E40" s="64"/>
      <c r="F40" s="64"/>
      <c r="G40" s="65"/>
      <c r="H40" s="64"/>
      <c r="I40" s="64"/>
    </row>
    <row r="41" spans="4:9" ht="20.149999999999999" customHeight="1">
      <c r="D41" s="63"/>
      <c r="E41" s="64"/>
      <c r="F41" s="64"/>
      <c r="G41" s="65"/>
      <c r="H41" s="64"/>
      <c r="I41" s="64"/>
    </row>
    <row r="42" spans="4:9" ht="20.149999999999999" customHeight="1">
      <c r="D42" s="63"/>
      <c r="E42" s="64"/>
      <c r="F42" s="64"/>
      <c r="G42" s="65"/>
      <c r="H42" s="65"/>
      <c r="I42" s="65"/>
    </row>
    <row r="222" spans="2:24" ht="20.149999999999999" customHeight="1">
      <c r="B222" s="14" t="s">
        <v>122</v>
      </c>
    </row>
    <row r="223" spans="2:24" ht="20.149999999999999" customHeight="1">
      <c r="B223" s="14" t="s">
        <v>122</v>
      </c>
      <c r="C223" s="14" t="s">
        <v>122</v>
      </c>
      <c r="D223" s="14" t="s">
        <v>122</v>
      </c>
      <c r="E223" s="14" t="s">
        <v>122</v>
      </c>
      <c r="F223" s="14" t="s">
        <v>122</v>
      </c>
      <c r="G223" s="14" t="s">
        <v>122</v>
      </c>
      <c r="H223" s="14" t="s">
        <v>122</v>
      </c>
      <c r="I223" s="14" t="s">
        <v>122</v>
      </c>
      <c r="J223" s="14" t="s">
        <v>122</v>
      </c>
      <c r="K223" s="14" t="s">
        <v>122</v>
      </c>
      <c r="L223" s="14" t="s">
        <v>122</v>
      </c>
      <c r="M223" s="14" t="s">
        <v>122</v>
      </c>
      <c r="N223" s="14" t="s">
        <v>122</v>
      </c>
      <c r="O223" s="14" t="s">
        <v>122</v>
      </c>
      <c r="P223" s="14" t="s">
        <v>122</v>
      </c>
      <c r="Q223" s="14" t="s">
        <v>122</v>
      </c>
      <c r="R223" s="14" t="s">
        <v>122</v>
      </c>
      <c r="S223" s="14" t="s">
        <v>122</v>
      </c>
      <c r="T223" s="14" t="s">
        <v>122</v>
      </c>
      <c r="U223" s="14" t="s">
        <v>122</v>
      </c>
      <c r="V223" s="14" t="s">
        <v>122</v>
      </c>
      <c r="W223" s="14" t="s">
        <v>122</v>
      </c>
      <c r="X223" s="14" t="s">
        <v>122</v>
      </c>
    </row>
    <row r="241" spans="2:2" ht="20.149999999999999" customHeight="1">
      <c r="B241" s="14" t="s">
        <v>123</v>
      </c>
    </row>
  </sheetData>
  <pageMargins left="0.75" right="0.75" top="1" bottom="1" header="0.5" footer="0.5"/>
  <pageSetup orientation="portrait" horizontalDpi="1200" verticalDpi="1200" r:id="rId1"/>
  <headerFooter alignWithMargins="0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C6938278529BD46A9082370167A6EB1" ma:contentTypeVersion="4" ma:contentTypeDescription="Create a new document." ma:contentTypeScope="" ma:versionID="bea076f2cd681535c146440be6142e4a">
  <xsd:schema xmlns:xsd="http://www.w3.org/2001/XMLSchema" xmlns:xs="http://www.w3.org/2001/XMLSchema" xmlns:p="http://schemas.microsoft.com/office/2006/metadata/properties" xmlns:ns2="67de9d43-63c7-4bfe-bbda-239ef801ad4d" targetNamespace="http://schemas.microsoft.com/office/2006/metadata/properties" ma:root="true" ma:fieldsID="0010c048decebf237c192a09447a9090" ns2:_="">
    <xsd:import namespace="67de9d43-63c7-4bfe-bbda-239ef801ad4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7de9d43-63c7-4bfe-bbda-239ef801ad4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9F623ADC-A05C-4DD5-9860-23AC87F07841}">
  <ds:schemaRefs>
    <ds:schemaRef ds:uri="http://purl.org/dc/elements/1.1/"/>
    <ds:schemaRef ds:uri="http://www.w3.org/XML/1998/namespace"/>
    <ds:schemaRef ds:uri="http://schemas.microsoft.com/office/2006/metadata/properties"/>
    <ds:schemaRef ds:uri="67de9d43-63c7-4bfe-bbda-239ef801ad4d"/>
    <ds:schemaRef ds:uri="http://purl.org/dc/terms/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dcmitype/"/>
  </ds:schemaRefs>
</ds:datastoreItem>
</file>

<file path=customXml/itemProps2.xml><?xml version="1.0" encoding="utf-8"?>
<ds:datastoreItem xmlns:ds="http://schemas.openxmlformats.org/officeDocument/2006/customXml" ds:itemID="{FBC7984D-F191-47B2-B187-F9A86420B6A8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036A6249-5538-4DF3-A8E0-D99B75956CAF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7de9d43-63c7-4bfe-bbda-239ef801ad4d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2</vt:i4>
      </vt:variant>
    </vt:vector>
  </HeadingPairs>
  <TitlesOfParts>
    <vt:vector size="8" baseType="lpstr">
      <vt:lpstr>Summary</vt:lpstr>
      <vt:lpstr>RAI</vt:lpstr>
      <vt:lpstr>Ambiguity Defects</vt:lpstr>
      <vt:lpstr>Guidelines</vt:lpstr>
      <vt:lpstr>Revision History</vt:lpstr>
      <vt:lpstr>Gauge_Prasad</vt:lpstr>
      <vt:lpstr>'Ambiguity Defects'!Print_Area</vt:lpstr>
      <vt:lpstr>'Revision History'!Print_Area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Requirement Ambiguity Report</dc:title>
  <dc:subject/>
  <dc:creator/>
  <cp:keywords/>
  <dc:description/>
  <cp:lastModifiedBy/>
  <cp:revision/>
  <dcterms:created xsi:type="dcterms:W3CDTF">2006-09-16T00:00:00Z</dcterms:created>
  <dcterms:modified xsi:type="dcterms:W3CDTF">2025-07-03T14:34:18Z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GUID">
    <vt:lpwstr>{20090723-1809-46E1-9B79-62B3A8176253}</vt:lpwstr>
  </property>
  <property fmtid="{D5CDD505-2E9C-101B-9397-08002B2CF9AE}" pid="3" name="Owner">
    <vt:lpwstr>320</vt:lpwstr>
  </property>
  <property fmtid="{D5CDD505-2E9C-101B-9397-08002B2CF9AE}" pid="4" name="Status">
    <vt:lpwstr>Ready for review</vt:lpwstr>
  </property>
  <property fmtid="{D5CDD505-2E9C-101B-9397-08002B2CF9AE}" pid="5" name="ContentTypeId">
    <vt:lpwstr>0x0101000C6938278529BD46A9082370167A6EB1</vt:lpwstr>
  </property>
  <property fmtid="{D5CDD505-2E9C-101B-9397-08002B2CF9AE}" pid="6" name="_ExtendedDescription">
    <vt:lpwstr/>
  </property>
</Properties>
</file>